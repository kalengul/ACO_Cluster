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5" i="1" l="1"/>
  <c r="M76" i="1"/>
  <c r="M77" i="1"/>
  <c r="M78" i="1"/>
  <c r="M79" i="1"/>
  <c r="M80" i="1"/>
  <c r="M81" i="1"/>
  <c r="M82" i="1"/>
  <c r="M83" i="1"/>
  <c r="M74" i="1"/>
  <c r="N87" i="1"/>
  <c r="N88" i="1"/>
  <c r="N89" i="1"/>
  <c r="N90" i="1"/>
  <c r="N91" i="1"/>
  <c r="N92" i="1"/>
  <c r="N93" i="1"/>
  <c r="N94" i="1"/>
  <c r="N95" i="1"/>
  <c r="N86" i="1"/>
  <c r="M87" i="1"/>
  <c r="M88" i="1"/>
  <c r="M89" i="1"/>
  <c r="M90" i="1"/>
  <c r="M91" i="1"/>
  <c r="M92" i="1"/>
  <c r="M93" i="1"/>
  <c r="M94" i="1"/>
  <c r="M95" i="1"/>
  <c r="M86" i="1"/>
  <c r="N75" i="1"/>
  <c r="N76" i="1"/>
  <c r="N77" i="1"/>
  <c r="N78" i="1"/>
  <c r="N79" i="1"/>
  <c r="N80" i="1"/>
  <c r="N81" i="1"/>
  <c r="N82" i="1"/>
  <c r="N83" i="1"/>
  <c r="N74" i="1"/>
  <c r="O95" i="1" l="1"/>
  <c r="O94" i="1"/>
  <c r="O93" i="1"/>
  <c r="O92" i="1"/>
  <c r="O91" i="1"/>
  <c r="O90" i="1"/>
  <c r="O89" i="1"/>
  <c r="O88" i="1"/>
  <c r="O87" i="1"/>
  <c r="O86" i="1"/>
  <c r="O85" i="1"/>
  <c r="N85" i="1"/>
  <c r="M85" i="1"/>
  <c r="N84" i="1"/>
  <c r="O84" i="1" s="1"/>
  <c r="M84" i="1"/>
  <c r="O83" i="1"/>
  <c r="O82" i="1"/>
  <c r="O81" i="1"/>
  <c r="O80" i="1"/>
  <c r="O79" i="1"/>
  <c r="O78" i="1"/>
  <c r="O77" i="1"/>
  <c r="O76" i="1"/>
  <c r="O75" i="1"/>
  <c r="O74" i="1"/>
  <c r="O73" i="1"/>
  <c r="N73" i="1"/>
  <c r="M73" i="1"/>
  <c r="N72" i="1"/>
  <c r="O72" i="1" s="1"/>
  <c r="M72" i="1"/>
  <c r="N71" i="1"/>
  <c r="O71" i="1" s="1"/>
  <c r="M71" i="1"/>
  <c r="N70" i="1"/>
  <c r="O70" i="1" s="1"/>
  <c r="M70" i="1"/>
  <c r="O69" i="1"/>
  <c r="N69" i="1"/>
  <c r="M69" i="1"/>
  <c r="N68" i="1"/>
  <c r="O68" i="1" s="1"/>
  <c r="M68" i="1"/>
  <c r="N67" i="1"/>
  <c r="O67" i="1" s="1"/>
  <c r="M67" i="1"/>
  <c r="N66" i="1"/>
  <c r="O66" i="1" s="1"/>
  <c r="M66" i="1"/>
  <c r="O65" i="1"/>
  <c r="N65" i="1"/>
  <c r="M65" i="1"/>
  <c r="N64" i="1"/>
  <c r="O64" i="1" s="1"/>
  <c r="M64" i="1"/>
  <c r="N63" i="1"/>
  <c r="O63" i="1" s="1"/>
  <c r="M63" i="1"/>
  <c r="N62" i="1"/>
  <c r="O62" i="1" s="1"/>
  <c r="M62" i="1"/>
  <c r="O61" i="1"/>
  <c r="N61" i="1"/>
  <c r="M61" i="1"/>
  <c r="N60" i="1"/>
  <c r="O60" i="1" s="1"/>
  <c r="M60" i="1"/>
  <c r="N59" i="1"/>
  <c r="O59" i="1" s="1"/>
  <c r="M59" i="1"/>
  <c r="N58" i="1"/>
  <c r="O58" i="1" s="1"/>
  <c r="M58" i="1"/>
  <c r="O57" i="1"/>
  <c r="N57" i="1"/>
  <c r="M57" i="1"/>
  <c r="N56" i="1"/>
  <c r="O56" i="1" s="1"/>
  <c r="M56" i="1"/>
  <c r="N55" i="1"/>
  <c r="O55" i="1" s="1"/>
  <c r="M55" i="1"/>
  <c r="N54" i="1"/>
  <c r="O54" i="1" s="1"/>
  <c r="M54" i="1"/>
  <c r="O53" i="1"/>
  <c r="N53" i="1"/>
  <c r="M53" i="1"/>
  <c r="N52" i="1"/>
  <c r="O52" i="1" s="1"/>
  <c r="M52" i="1"/>
  <c r="N51" i="1"/>
  <c r="O51" i="1" s="1"/>
  <c r="M51" i="1"/>
  <c r="N50" i="1"/>
  <c r="O50" i="1" s="1"/>
  <c r="M50" i="1"/>
  <c r="O49" i="1"/>
  <c r="N49" i="1"/>
  <c r="M49" i="1"/>
  <c r="N48" i="1"/>
  <c r="O48" i="1" s="1"/>
  <c r="M48" i="1"/>
  <c r="N47" i="1"/>
  <c r="O47" i="1" s="1"/>
  <c r="M47" i="1"/>
  <c r="N46" i="1"/>
  <c r="O46" i="1" s="1"/>
  <c r="M46" i="1"/>
  <c r="O45" i="1"/>
  <c r="N45" i="1"/>
  <c r="M45" i="1"/>
  <c r="N44" i="1"/>
  <c r="O44" i="1" s="1"/>
  <c r="M44" i="1"/>
  <c r="N43" i="1"/>
  <c r="O43" i="1" s="1"/>
  <c r="M43" i="1"/>
  <c r="N42" i="1"/>
  <c r="O42" i="1" s="1"/>
  <c r="M42" i="1"/>
  <c r="O41" i="1"/>
  <c r="N41" i="1"/>
  <c r="M41" i="1"/>
  <c r="N40" i="1"/>
  <c r="O40" i="1" s="1"/>
  <c r="M40" i="1"/>
  <c r="N39" i="1"/>
  <c r="O39" i="1" s="1"/>
  <c r="M39" i="1"/>
  <c r="N38" i="1"/>
  <c r="O38" i="1" s="1"/>
  <c r="M38" i="1"/>
  <c r="O37" i="1"/>
  <c r="N37" i="1"/>
  <c r="M37" i="1"/>
  <c r="N36" i="1"/>
  <c r="O36" i="1" s="1"/>
  <c r="M36" i="1"/>
  <c r="N35" i="1"/>
  <c r="O35" i="1" s="1"/>
  <c r="M35" i="1"/>
  <c r="N34" i="1"/>
  <c r="O34" i="1" s="1"/>
  <c r="M34" i="1"/>
  <c r="O33" i="1"/>
  <c r="N33" i="1"/>
  <c r="M33" i="1"/>
  <c r="N32" i="1"/>
  <c r="O32" i="1" s="1"/>
  <c r="M32" i="1"/>
  <c r="N31" i="1"/>
  <c r="O31" i="1" s="1"/>
  <c r="M31" i="1"/>
  <c r="N30" i="1"/>
  <c r="O30" i="1" s="1"/>
  <c r="M30" i="1"/>
  <c r="O29" i="1"/>
  <c r="N29" i="1"/>
  <c r="M29" i="1"/>
  <c r="N28" i="1"/>
  <c r="O28" i="1" s="1"/>
  <c r="M28" i="1"/>
  <c r="N27" i="1"/>
  <c r="O27" i="1" s="1"/>
  <c r="M27" i="1"/>
  <c r="N26" i="1"/>
  <c r="O26" i="1" s="1"/>
  <c r="M26" i="1"/>
  <c r="O25" i="1"/>
  <c r="N25" i="1"/>
  <c r="M25" i="1"/>
  <c r="N24" i="1"/>
  <c r="O24" i="1" s="1"/>
  <c r="M24" i="1"/>
  <c r="N23" i="1"/>
  <c r="O23" i="1" s="1"/>
  <c r="M23" i="1"/>
  <c r="N22" i="1"/>
  <c r="O22" i="1" s="1"/>
  <c r="M22" i="1"/>
  <c r="O21" i="1"/>
  <c r="N21" i="1"/>
  <c r="M21" i="1"/>
  <c r="N20" i="1"/>
  <c r="O20" i="1" s="1"/>
  <c r="M20" i="1"/>
  <c r="N19" i="1"/>
  <c r="O19" i="1" s="1"/>
  <c r="M19" i="1"/>
  <c r="N18" i="1"/>
  <c r="O18" i="1" s="1"/>
  <c r="M18" i="1"/>
  <c r="O17" i="1"/>
  <c r="N17" i="1"/>
  <c r="M17" i="1"/>
  <c r="N16" i="1"/>
  <c r="O16" i="1" s="1"/>
  <c r="M16" i="1"/>
  <c r="N15" i="1"/>
  <c r="O15" i="1" s="1"/>
  <c r="M15" i="1"/>
  <c r="N14" i="1"/>
  <c r="O14" i="1" s="1"/>
  <c r="M14" i="1"/>
  <c r="O13" i="1"/>
  <c r="N13" i="1"/>
  <c r="M13" i="1"/>
  <c r="N12" i="1"/>
  <c r="O12" i="1" s="1"/>
  <c r="M12" i="1"/>
  <c r="N11" i="1"/>
  <c r="O11" i="1" s="1"/>
  <c r="M11" i="1"/>
  <c r="N10" i="1"/>
  <c r="O10" i="1" s="1"/>
  <c r="M10" i="1"/>
  <c r="O9" i="1"/>
  <c r="N9" i="1"/>
  <c r="M9" i="1"/>
  <c r="N8" i="1"/>
  <c r="O8" i="1" s="1"/>
  <c r="M8" i="1"/>
  <c r="N7" i="1"/>
  <c r="O7" i="1" s="1"/>
  <c r="M7" i="1"/>
  <c r="N6" i="1"/>
  <c r="O6" i="1" s="1"/>
  <c r="M6" i="1"/>
  <c r="O5" i="1"/>
  <c r="N5" i="1"/>
  <c r="M5" i="1"/>
  <c r="N4" i="1"/>
  <c r="O4" i="1" s="1"/>
  <c r="M4" i="1"/>
  <c r="N3" i="1"/>
  <c r="O3" i="1" s="1"/>
  <c r="M3" i="1"/>
  <c r="N2" i="1"/>
  <c r="O2" i="1" s="1"/>
  <c r="M2" i="1"/>
  <c r="L11" i="1" l="1"/>
  <c r="L10" i="1"/>
  <c r="L9" i="1"/>
  <c r="L8" i="1"/>
  <c r="L7" i="1"/>
  <c r="L6" i="1"/>
  <c r="L5" i="1"/>
  <c r="L4" i="1"/>
  <c r="L3" i="1"/>
  <c r="L2" i="1"/>
  <c r="L23" i="1"/>
  <c r="L22" i="1"/>
  <c r="L21" i="1"/>
  <c r="L20" i="1"/>
  <c r="L19" i="1"/>
  <c r="L18" i="1"/>
  <c r="L17" i="1"/>
  <c r="L16" i="1"/>
  <c r="L15" i="1"/>
  <c r="L14" i="1"/>
  <c r="L35" i="1"/>
  <c r="L34" i="1"/>
  <c r="L33" i="1"/>
  <c r="L32" i="1"/>
  <c r="L31" i="1"/>
  <c r="L30" i="1"/>
  <c r="L29" i="1"/>
  <c r="L28" i="1"/>
  <c r="L27" i="1"/>
  <c r="L26" i="1"/>
  <c r="L47" i="1"/>
  <c r="L46" i="1"/>
  <c r="L45" i="1"/>
  <c r="L44" i="1"/>
  <c r="L43" i="1"/>
  <c r="L42" i="1"/>
  <c r="L41" i="1"/>
  <c r="L40" i="1"/>
  <c r="L39" i="1"/>
  <c r="L38" i="1"/>
  <c r="L59" i="1"/>
  <c r="L58" i="1"/>
  <c r="L57" i="1"/>
  <c r="L56" i="1"/>
  <c r="L55" i="1"/>
  <c r="L54" i="1"/>
  <c r="L53" i="1"/>
  <c r="L52" i="1"/>
  <c r="L51" i="1"/>
  <c r="L50" i="1"/>
  <c r="L71" i="1"/>
  <c r="L70" i="1"/>
  <c r="L69" i="1"/>
  <c r="L68" i="1"/>
  <c r="L67" i="1"/>
  <c r="L66" i="1"/>
  <c r="L65" i="1"/>
  <c r="L64" i="1"/>
  <c r="L63" i="1"/>
  <c r="L62" i="1"/>
  <c r="L83" i="1"/>
  <c r="L82" i="1"/>
  <c r="L81" i="1"/>
  <c r="L80" i="1"/>
  <c r="L79" i="1"/>
  <c r="L78" i="1"/>
  <c r="L77" i="1"/>
  <c r="L76" i="1"/>
  <c r="L75" i="1"/>
  <c r="L74" i="1"/>
  <c r="L87" i="1"/>
  <c r="L88" i="1"/>
  <c r="L89" i="1"/>
  <c r="L90" i="1"/>
  <c r="L91" i="1"/>
  <c r="L92" i="1"/>
  <c r="L93" i="1"/>
  <c r="L94" i="1"/>
  <c r="L95" i="1"/>
  <c r="L86" i="1"/>
</calcChain>
</file>

<file path=xl/sharedStrings.xml><?xml version="1.0" encoding="utf-8"?>
<sst xmlns="http://schemas.openxmlformats.org/spreadsheetml/2006/main" count="163" uniqueCount="20">
  <si>
    <t>numberOfIndividums</t>
  </si>
  <si>
    <t>currentVelocityRatio</t>
  </si>
  <si>
    <t>localVelocityRatio</t>
  </si>
  <si>
    <t>globalVelocityRatio</t>
  </si>
  <si>
    <t>numberLives</t>
  </si>
  <si>
    <t>textFunction</t>
  </si>
  <si>
    <t>mBest</t>
  </si>
  <si>
    <t>laBest</t>
  </si>
  <si>
    <t>mTime</t>
  </si>
  <si>
    <t>laTime</t>
  </si>
  <si>
    <t>BenchRastriginFunctionx10</t>
  </si>
  <si>
    <t>BenchMultiFunctionx10</t>
  </si>
  <si>
    <t>BenchRozenbrokx10</t>
  </si>
  <si>
    <t>BenchShafferaFunctionx10</t>
  </si>
  <si>
    <t>BenchKornFunctionx10</t>
  </si>
  <si>
    <t>BenchBirdFunctionx10</t>
  </si>
  <si>
    <t>BenchEkliFunctionx10</t>
  </si>
  <si>
    <t>M</t>
  </si>
  <si>
    <t>D</t>
  </si>
  <si>
    <t>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</si>
</sst>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5"/>
  <sheetViews>
    <sheetView tabSelected="1" topLeftCell="A64" workbookViewId="0">
      <selection activeCell="M74" sqref="M74:M83"/>
    </sheetView>
  </sheetViews>
  <sheetFormatPr defaultRowHeight="15" x14ac:dyDescent="0.25"/>
  <cols>
    <col min="1" max="5" width="6.42578125" customWidth="1"/>
    <col min="6" max="6" width="25.28515625" style="1" bestFit="1" customWidth="1"/>
    <col min="7" max="7" width="12.7109375" bestFit="1" customWidth="1"/>
    <col min="8" max="10" width="12" bestFit="1" customWidth="1"/>
    <col min="12" max="12" width="55.28515625" customWidth="1"/>
    <col min="13" max="13" width="13.7109375" customWidth="1"/>
    <col min="14" max="15" width="12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M1" t="s">
        <v>17</v>
      </c>
      <c r="N1" t="s">
        <v>18</v>
      </c>
      <c r="O1" t="s">
        <v>19</v>
      </c>
      <c r="P1">
        <v>1.96</v>
      </c>
      <c r="Q1">
        <v>500</v>
      </c>
    </row>
    <row r="2" spans="1:17" x14ac:dyDescent="0.25">
      <c r="A2">
        <v>50</v>
      </c>
      <c r="B2">
        <v>0.1</v>
      </c>
      <c r="C2">
        <v>1</v>
      </c>
      <c r="D2">
        <v>5</v>
      </c>
      <c r="E2">
        <v>2000</v>
      </c>
      <c r="F2" s="1" t="s">
        <v>16</v>
      </c>
      <c r="G2">
        <v>-19.999945787869816</v>
      </c>
      <c r="H2">
        <v>399.99783236374435</v>
      </c>
      <c r="I2">
        <v>217.61173300000007</v>
      </c>
      <c r="J2">
        <v>98.833082948516989</v>
      </c>
      <c r="L2">
        <f>G2</f>
        <v>-19.999945787869816</v>
      </c>
      <c r="M2">
        <f>-L2</f>
        <v>19.999945787869816</v>
      </c>
      <c r="N2">
        <f>H2-L2*L2</f>
        <v>8.460127673970419E-7</v>
      </c>
      <c r="O2">
        <f>$P$1*SQRT(N2)/$Q$1</f>
        <v>3.605574931814606E-6</v>
      </c>
    </row>
    <row r="3" spans="1:17" x14ac:dyDescent="0.25">
      <c r="A3">
        <v>100</v>
      </c>
      <c r="B3">
        <v>0.1</v>
      </c>
      <c r="C3">
        <v>1</v>
      </c>
      <c r="D3">
        <v>5</v>
      </c>
      <c r="E3">
        <v>1000</v>
      </c>
      <c r="F3" s="1" t="s">
        <v>16</v>
      </c>
      <c r="G3">
        <v>-20.039999891518075</v>
      </c>
      <c r="H3">
        <v>400.79999566242088</v>
      </c>
      <c r="I3">
        <v>485.6517860000003</v>
      </c>
      <c r="J3">
        <v>246.29463851956811</v>
      </c>
      <c r="L3">
        <f>(G3*500-G2)/500</f>
        <v>-19.999999999942339</v>
      </c>
      <c r="M3">
        <f t="shared" ref="M3:M11" si="0">-L3</f>
        <v>19.999999999942339</v>
      </c>
      <c r="N3">
        <f t="shared" ref="N3:N11" si="1">H3-L3*L3</f>
        <v>0.79999566472730521</v>
      </c>
      <c r="O3">
        <f t="shared" ref="O3:O66" si="2">$P$1*SQRT(N3)/$Q$1</f>
        <v>3.5061450886216422E-3</v>
      </c>
    </row>
    <row r="4" spans="1:17" x14ac:dyDescent="0.25">
      <c r="A4">
        <v>150</v>
      </c>
      <c r="B4">
        <v>0.1</v>
      </c>
      <c r="C4">
        <v>1</v>
      </c>
      <c r="D4">
        <v>5</v>
      </c>
      <c r="E4">
        <v>666</v>
      </c>
      <c r="F4" s="1" t="s">
        <v>16</v>
      </c>
      <c r="G4">
        <v>-20.040079999783035</v>
      </c>
      <c r="H4">
        <v>400.80159999132485</v>
      </c>
      <c r="I4">
        <v>752.25404500000002</v>
      </c>
      <c r="J4">
        <v>393.03966880122289</v>
      </c>
      <c r="L4">
        <f t="shared" ref="L4:L11" si="3">(G4*500-G3)/500</f>
        <v>-20</v>
      </c>
      <c r="M4">
        <f t="shared" si="0"/>
        <v>20</v>
      </c>
      <c r="N4">
        <f t="shared" si="1"/>
        <v>0.80159999132484927</v>
      </c>
      <c r="O4">
        <f t="shared" si="2"/>
        <v>3.5096589729907038E-3</v>
      </c>
    </row>
    <row r="5" spans="1:17" x14ac:dyDescent="0.25">
      <c r="A5">
        <v>200</v>
      </c>
      <c r="B5">
        <v>0.1</v>
      </c>
      <c r="C5">
        <v>1</v>
      </c>
      <c r="D5">
        <v>5</v>
      </c>
      <c r="E5">
        <v>500</v>
      </c>
      <c r="F5" s="1" t="s">
        <v>16</v>
      </c>
      <c r="G5">
        <v>-20.040080159999569</v>
      </c>
      <c r="H5">
        <v>400.80160319998265</v>
      </c>
      <c r="I5">
        <v>1021.5569609999997</v>
      </c>
      <c r="J5">
        <v>543.00585568715474</v>
      </c>
      <c r="L5">
        <f t="shared" si="3"/>
        <v>-20.000000000000004</v>
      </c>
      <c r="M5">
        <f t="shared" si="0"/>
        <v>20.000000000000004</v>
      </c>
      <c r="N5">
        <f t="shared" si="1"/>
        <v>0.80160319998253726</v>
      </c>
      <c r="O5">
        <f t="shared" si="2"/>
        <v>3.5096659972441335E-3</v>
      </c>
    </row>
    <row r="6" spans="1:17" x14ac:dyDescent="0.25">
      <c r="A6">
        <v>250</v>
      </c>
      <c r="B6">
        <v>0.1</v>
      </c>
      <c r="C6">
        <v>1</v>
      </c>
      <c r="D6">
        <v>5</v>
      </c>
      <c r="E6">
        <v>400</v>
      </c>
      <c r="F6" s="1" t="s">
        <v>16</v>
      </c>
      <c r="G6">
        <v>-20.040080160319636</v>
      </c>
      <c r="H6">
        <v>400.80160320638248</v>
      </c>
      <c r="I6">
        <v>1294.9317759999997</v>
      </c>
      <c r="J6">
        <v>696.44088183606107</v>
      </c>
      <c r="L6">
        <f t="shared" si="3"/>
        <v>-19.999999999999641</v>
      </c>
      <c r="M6">
        <f t="shared" si="0"/>
        <v>19.999999999999641</v>
      </c>
      <c r="N6">
        <f t="shared" si="1"/>
        <v>0.80160320639680549</v>
      </c>
      <c r="O6">
        <f t="shared" si="2"/>
        <v>3.5096660112859559E-3</v>
      </c>
    </row>
    <row r="7" spans="1:17" x14ac:dyDescent="0.25">
      <c r="A7">
        <v>300</v>
      </c>
      <c r="B7">
        <v>0.1</v>
      </c>
      <c r="C7">
        <v>1</v>
      </c>
      <c r="D7">
        <v>5</v>
      </c>
      <c r="E7">
        <v>333</v>
      </c>
      <c r="F7" s="1" t="s">
        <v>16</v>
      </c>
      <c r="G7">
        <v>-20.040080160272616</v>
      </c>
      <c r="H7">
        <v>400.80160320449215</v>
      </c>
      <c r="I7">
        <v>1572.3994819999978</v>
      </c>
      <c r="J7">
        <v>854.80379577546751</v>
      </c>
      <c r="L7">
        <f t="shared" si="3"/>
        <v>-19.999999999951978</v>
      </c>
      <c r="M7">
        <f t="shared" si="0"/>
        <v>19.999999999951978</v>
      </c>
      <c r="N7">
        <f t="shared" si="1"/>
        <v>0.80160320641300586</v>
      </c>
      <c r="O7">
        <f t="shared" si="2"/>
        <v>3.5096660113214211E-3</v>
      </c>
    </row>
    <row r="8" spans="1:17" x14ac:dyDescent="0.25">
      <c r="A8">
        <v>350</v>
      </c>
      <c r="B8">
        <v>0.1</v>
      </c>
      <c r="C8">
        <v>1</v>
      </c>
      <c r="D8">
        <v>5</v>
      </c>
      <c r="E8">
        <v>285</v>
      </c>
      <c r="F8" s="1" t="s">
        <v>16</v>
      </c>
      <c r="G8">
        <v>-20.040080158803189</v>
      </c>
      <c r="H8">
        <v>400.80160314571549</v>
      </c>
      <c r="I8">
        <v>1852.9421119999972</v>
      </c>
      <c r="J8">
        <v>1016.2209656822788</v>
      </c>
      <c r="L8">
        <f t="shared" si="3"/>
        <v>-19.999999998482647</v>
      </c>
      <c r="M8">
        <f t="shared" si="0"/>
        <v>19.999999998482647</v>
      </c>
      <c r="N8">
        <f t="shared" si="1"/>
        <v>0.80160320640959526</v>
      </c>
      <c r="O8">
        <f t="shared" si="2"/>
        <v>3.5096660113139544E-3</v>
      </c>
    </row>
    <row r="9" spans="1:17" x14ac:dyDescent="0.25">
      <c r="A9">
        <v>400</v>
      </c>
      <c r="B9">
        <v>0.1</v>
      </c>
      <c r="C9">
        <v>1</v>
      </c>
      <c r="D9">
        <v>5</v>
      </c>
      <c r="E9">
        <v>250</v>
      </c>
      <c r="F9" s="1" t="s">
        <v>16</v>
      </c>
      <c r="G9">
        <v>-20.040080142779082</v>
      </c>
      <c r="H9">
        <v>400.80160250475126</v>
      </c>
      <c r="I9">
        <v>2135.5421509999978</v>
      </c>
      <c r="J9">
        <v>1179.501686934339</v>
      </c>
      <c r="L9">
        <f t="shared" si="3"/>
        <v>-19.999999982461475</v>
      </c>
      <c r="M9">
        <f t="shared" si="0"/>
        <v>19.999999982461475</v>
      </c>
      <c r="N9">
        <f t="shared" si="1"/>
        <v>0.80160320629227044</v>
      </c>
      <c r="O9">
        <f t="shared" si="2"/>
        <v>3.5096660110571121E-3</v>
      </c>
    </row>
    <row r="10" spans="1:17" x14ac:dyDescent="0.25">
      <c r="A10">
        <v>450</v>
      </c>
      <c r="B10">
        <v>0.1</v>
      </c>
      <c r="C10">
        <v>1</v>
      </c>
      <c r="D10">
        <v>5</v>
      </c>
      <c r="E10">
        <v>222</v>
      </c>
      <c r="F10" s="1" t="s">
        <v>16</v>
      </c>
      <c r="G10">
        <v>-20.040080031367239</v>
      </c>
      <c r="H10">
        <v>400.8015980482765</v>
      </c>
      <c r="I10">
        <v>2419.6303379999995</v>
      </c>
      <c r="J10">
        <v>1344.720829200538</v>
      </c>
      <c r="L10">
        <f t="shared" si="3"/>
        <v>-19.999999871081684</v>
      </c>
      <c r="M10">
        <f t="shared" si="0"/>
        <v>19.999999871081684</v>
      </c>
      <c r="N10">
        <f t="shared" si="1"/>
        <v>0.80160320500914395</v>
      </c>
      <c r="O10">
        <f t="shared" si="2"/>
        <v>3.5096660082481511E-3</v>
      </c>
    </row>
    <row r="11" spans="1:17" x14ac:dyDescent="0.25">
      <c r="A11">
        <v>500</v>
      </c>
      <c r="B11">
        <v>0.1</v>
      </c>
      <c r="C11">
        <v>1</v>
      </c>
      <c r="D11">
        <v>5</v>
      </c>
      <c r="E11">
        <v>200</v>
      </c>
      <c r="F11" s="1" t="s">
        <v>16</v>
      </c>
      <c r="G11">
        <v>-20.040079571409496</v>
      </c>
      <c r="H11">
        <v>400.80157964996738</v>
      </c>
      <c r="I11">
        <v>2696.4389529999971</v>
      </c>
      <c r="J11">
        <v>1501.3660069801499</v>
      </c>
      <c r="L11">
        <f t="shared" si="3"/>
        <v>-19.999999411346764</v>
      </c>
      <c r="M11">
        <f t="shared" si="0"/>
        <v>19.999999411346764</v>
      </c>
      <c r="N11">
        <f t="shared" si="1"/>
        <v>0.80160319609649378</v>
      </c>
      <c r="O11">
        <f t="shared" si="2"/>
        <v>3.509665988736985E-3</v>
      </c>
    </row>
    <row r="12" spans="1:17" x14ac:dyDescent="0.25">
      <c r="M12">
        <f t="shared" ref="M12:M61" si="4">-G12</f>
        <v>0</v>
      </c>
      <c r="N12">
        <f t="shared" ref="N12:N61" si="5">H12-G12*G12</f>
        <v>0</v>
      </c>
      <c r="O12">
        <f t="shared" si="2"/>
        <v>0</v>
      </c>
    </row>
    <row r="13" spans="1:17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s="1" t="s">
        <v>5</v>
      </c>
      <c r="G13" t="s">
        <v>6</v>
      </c>
      <c r="H13" t="s">
        <v>7</v>
      </c>
      <c r="I13" t="s">
        <v>8</v>
      </c>
      <c r="J13" t="s">
        <v>9</v>
      </c>
      <c r="M13" t="e">
        <f t="shared" si="4"/>
        <v>#VALUE!</v>
      </c>
      <c r="N13" t="e">
        <f t="shared" si="5"/>
        <v>#VALUE!</v>
      </c>
      <c r="O13" t="e">
        <f t="shared" si="2"/>
        <v>#VALUE!</v>
      </c>
    </row>
    <row r="14" spans="1:17" x14ac:dyDescent="0.25">
      <c r="A14">
        <v>50</v>
      </c>
      <c r="B14">
        <v>0.1</v>
      </c>
      <c r="C14">
        <v>1</v>
      </c>
      <c r="D14">
        <v>5</v>
      </c>
      <c r="E14">
        <v>2000</v>
      </c>
      <c r="F14" s="1" t="s">
        <v>10</v>
      </c>
      <c r="G14">
        <v>0.14734669673846798</v>
      </c>
      <c r="H14">
        <v>0.14492195481643558</v>
      </c>
      <c r="I14">
        <v>180.51021499999996</v>
      </c>
      <c r="J14">
        <v>65.39623725218901</v>
      </c>
      <c r="L14">
        <f>G14</f>
        <v>0.14734669673846798</v>
      </c>
      <c r="M14">
        <f>-L14</f>
        <v>-0.14734669673846798</v>
      </c>
      <c r="N14">
        <f>H14-L14*L14</f>
        <v>0.12321090577669752</v>
      </c>
      <c r="O14">
        <f t="shared" si="2"/>
        <v>1.3759753131968046E-3</v>
      </c>
    </row>
    <row r="15" spans="1:17" x14ac:dyDescent="0.25">
      <c r="A15">
        <v>100</v>
      </c>
      <c r="B15">
        <v>0.1</v>
      </c>
      <c r="C15">
        <v>1</v>
      </c>
      <c r="D15">
        <v>5</v>
      </c>
      <c r="E15">
        <v>1000</v>
      </c>
      <c r="F15" s="1" t="s">
        <v>10</v>
      </c>
      <c r="G15">
        <v>1.8614942613833743E-2</v>
      </c>
      <c r="H15">
        <v>1.8178126869080151E-2</v>
      </c>
      <c r="I15">
        <v>363.18978400000037</v>
      </c>
      <c r="J15">
        <v>132.26404288934</v>
      </c>
      <c r="L15">
        <f>(G15*500-G14)/500</f>
        <v>1.8320249220356806E-2</v>
      </c>
      <c r="M15">
        <f t="shared" ref="M15:M23" si="6">-L15</f>
        <v>-1.8320249220356806E-2</v>
      </c>
      <c r="N15">
        <f t="shared" ref="N15:N23" si="7">H15-L15*L15</f>
        <v>1.7842495337584165E-2</v>
      </c>
      <c r="O15">
        <f t="shared" si="2"/>
        <v>5.2361715055511046E-4</v>
      </c>
    </row>
    <row r="16" spans="1:17" x14ac:dyDescent="0.25">
      <c r="A16">
        <v>150</v>
      </c>
      <c r="B16">
        <v>0.1</v>
      </c>
      <c r="C16">
        <v>1</v>
      </c>
      <c r="D16">
        <v>5</v>
      </c>
      <c r="E16">
        <v>666</v>
      </c>
      <c r="F16" s="1" t="s">
        <v>10</v>
      </c>
      <c r="G16">
        <v>6.0558979250489387E-3</v>
      </c>
      <c r="H16">
        <v>5.9770394282102676E-3</v>
      </c>
      <c r="I16">
        <v>545.82613400000059</v>
      </c>
      <c r="J16">
        <v>199.07741746211155</v>
      </c>
      <c r="L16">
        <f t="shared" ref="L16:L23" si="8">(G16*500-G15)/500</f>
        <v>6.0186680398212717E-3</v>
      </c>
      <c r="M16">
        <f t="shared" si="6"/>
        <v>-6.0186680398212717E-3</v>
      </c>
      <c r="N16">
        <f t="shared" si="7"/>
        <v>5.9408150632367018E-3</v>
      </c>
      <c r="O16">
        <f t="shared" si="2"/>
        <v>3.0214059738426489E-4</v>
      </c>
    </row>
    <row r="17" spans="1:15" x14ac:dyDescent="0.25">
      <c r="A17">
        <v>200</v>
      </c>
      <c r="B17">
        <v>0.1</v>
      </c>
      <c r="C17">
        <v>1</v>
      </c>
      <c r="D17">
        <v>5</v>
      </c>
      <c r="E17">
        <v>500</v>
      </c>
      <c r="F17" s="1" t="s">
        <v>10</v>
      </c>
      <c r="G17">
        <v>1.4152968626669775E-5</v>
      </c>
      <c r="H17">
        <v>1.1956162049566468E-5</v>
      </c>
      <c r="I17">
        <v>748.82281999999941</v>
      </c>
      <c r="J17">
        <v>282.55419711327551</v>
      </c>
      <c r="L17">
        <f t="shared" si="8"/>
        <v>2.041172776571898E-6</v>
      </c>
      <c r="M17">
        <f t="shared" si="6"/>
        <v>-2.041172776571898E-6</v>
      </c>
      <c r="N17">
        <f t="shared" si="7"/>
        <v>1.1956157883180165E-5</v>
      </c>
      <c r="O17">
        <f t="shared" si="2"/>
        <v>1.3554449619814876E-5</v>
      </c>
    </row>
    <row r="18" spans="1:15" x14ac:dyDescent="0.25">
      <c r="A18">
        <v>250</v>
      </c>
      <c r="B18">
        <v>0.1</v>
      </c>
      <c r="C18">
        <v>1</v>
      </c>
      <c r="D18">
        <v>5</v>
      </c>
      <c r="E18">
        <v>400</v>
      </c>
      <c r="F18" s="1" t="s">
        <v>10</v>
      </c>
      <c r="G18">
        <v>2.8305938642450597E-8</v>
      </c>
      <c r="H18">
        <v>2.3912324099132934E-8</v>
      </c>
      <c r="I18">
        <v>944.08751900000004</v>
      </c>
      <c r="J18">
        <v>359.02506836280082</v>
      </c>
      <c r="L18">
        <f t="shared" si="8"/>
        <v>1.3891110484109959E-15</v>
      </c>
      <c r="M18">
        <f t="shared" si="6"/>
        <v>-1.3891110484109959E-15</v>
      </c>
      <c r="N18">
        <f t="shared" si="7"/>
        <v>2.3912324099132934E-8</v>
      </c>
      <c r="O18">
        <f t="shared" si="2"/>
        <v>6.0617352056726823E-7</v>
      </c>
    </row>
    <row r="19" spans="1:15" x14ac:dyDescent="0.25">
      <c r="A19">
        <v>300</v>
      </c>
      <c r="B19">
        <v>0.1</v>
      </c>
      <c r="C19">
        <v>1</v>
      </c>
      <c r="D19">
        <v>5</v>
      </c>
      <c r="E19">
        <v>333</v>
      </c>
      <c r="F19" s="1" t="s">
        <v>10</v>
      </c>
      <c r="G19">
        <v>5.661212242214503E-11</v>
      </c>
      <c r="H19">
        <v>4.7824648198265872E-11</v>
      </c>
      <c r="I19">
        <v>1137.704650000001</v>
      </c>
      <c r="J19">
        <v>434.14558132225562</v>
      </c>
      <c r="L19">
        <f t="shared" si="8"/>
        <v>2.4513724383723458E-16</v>
      </c>
      <c r="M19">
        <f t="shared" si="6"/>
        <v>-2.4513724383723458E-16</v>
      </c>
      <c r="N19">
        <f t="shared" si="7"/>
        <v>4.7824648198265872E-11</v>
      </c>
      <c r="O19">
        <f t="shared" si="2"/>
        <v>2.7108903962975572E-8</v>
      </c>
    </row>
    <row r="20" spans="1:15" x14ac:dyDescent="0.25">
      <c r="A20">
        <v>350</v>
      </c>
      <c r="B20">
        <v>0.1</v>
      </c>
      <c r="C20">
        <v>1</v>
      </c>
      <c r="D20">
        <v>5</v>
      </c>
      <c r="E20">
        <v>285</v>
      </c>
      <c r="F20" s="1" t="s">
        <v>10</v>
      </c>
      <c r="G20">
        <v>1.242269991075352E-13</v>
      </c>
      <c r="H20">
        <v>9.5649296396567977E-14</v>
      </c>
      <c r="I20">
        <v>1333.1508440000032</v>
      </c>
      <c r="J20">
        <v>510.71320181822722</v>
      </c>
      <c r="L20">
        <f t="shared" si="8"/>
        <v>1.1002754263245151E-14</v>
      </c>
      <c r="M20">
        <f t="shared" si="6"/>
        <v>-1.1002754263245151E-14</v>
      </c>
      <c r="N20">
        <f t="shared" si="7"/>
        <v>9.5649296396567851E-14</v>
      </c>
      <c r="O20">
        <f t="shared" si="2"/>
        <v>1.2123470411347651E-9</v>
      </c>
    </row>
    <row r="21" spans="1:15" x14ac:dyDescent="0.25">
      <c r="A21">
        <v>400</v>
      </c>
      <c r="B21">
        <v>0.1</v>
      </c>
      <c r="C21">
        <v>1</v>
      </c>
      <c r="D21">
        <v>5</v>
      </c>
      <c r="E21">
        <v>250</v>
      </c>
      <c r="F21" s="1" t="s">
        <v>10</v>
      </c>
      <c r="G21">
        <v>1.7613265009459148E-13</v>
      </c>
      <c r="H21">
        <v>1.9129859289638244E-16</v>
      </c>
      <c r="I21">
        <v>1522.5973080000022</v>
      </c>
      <c r="J21">
        <v>583.48921693244313</v>
      </c>
      <c r="L21">
        <f t="shared" si="8"/>
        <v>1.7588419609637639E-13</v>
      </c>
      <c r="M21">
        <f t="shared" si="6"/>
        <v>-1.7588419609637639E-13</v>
      </c>
      <c r="N21">
        <f t="shared" si="7"/>
        <v>1.9129859286544719E-16</v>
      </c>
      <c r="O21">
        <f t="shared" si="2"/>
        <v>5.4217807936208635E-11</v>
      </c>
    </row>
    <row r="22" spans="1:15" x14ac:dyDescent="0.25">
      <c r="A22">
        <v>450</v>
      </c>
      <c r="B22">
        <v>0.1</v>
      </c>
      <c r="C22">
        <v>1</v>
      </c>
      <c r="D22">
        <v>5</v>
      </c>
      <c r="E22">
        <v>222</v>
      </c>
      <c r="F22" s="1" t="s">
        <v>10</v>
      </c>
      <c r="G22">
        <v>7.8958534070749183E-12</v>
      </c>
      <c r="H22">
        <v>3.8348883236276176E-19</v>
      </c>
      <c r="I22">
        <v>1714.8947210000003</v>
      </c>
      <c r="J22">
        <v>658.04084789485808</v>
      </c>
      <c r="L22">
        <f t="shared" si="8"/>
        <v>7.8955011417747283E-12</v>
      </c>
      <c r="M22">
        <f t="shared" si="6"/>
        <v>-7.8955011417747283E-12</v>
      </c>
      <c r="N22">
        <f t="shared" si="7"/>
        <v>3.8342649342448197E-19</v>
      </c>
      <c r="O22">
        <f t="shared" si="2"/>
        <v>2.4273205121198888E-12</v>
      </c>
    </row>
    <row r="23" spans="1:15" x14ac:dyDescent="0.25">
      <c r="A23">
        <v>500</v>
      </c>
      <c r="B23">
        <v>0.1</v>
      </c>
      <c r="C23">
        <v>1</v>
      </c>
      <c r="D23">
        <v>5</v>
      </c>
      <c r="E23">
        <v>200</v>
      </c>
      <c r="F23" s="1" t="s">
        <v>10</v>
      </c>
      <c r="G23">
        <v>1.1668084443637288E-10</v>
      </c>
      <c r="H23">
        <v>3.8630393073752624E-20</v>
      </c>
      <c r="I23">
        <v>1906.615385000001</v>
      </c>
      <c r="J23">
        <v>732.08545792384416</v>
      </c>
      <c r="L23">
        <f t="shared" si="8"/>
        <v>1.1666505272955873E-10</v>
      </c>
      <c r="M23">
        <f t="shared" si="6"/>
        <v>-1.1666505272955873E-10</v>
      </c>
      <c r="N23">
        <f t="shared" si="7"/>
        <v>2.5019658545361905E-20</v>
      </c>
      <c r="O23">
        <f t="shared" si="2"/>
        <v>6.2005006335895901E-13</v>
      </c>
    </row>
    <row r="24" spans="1:15" x14ac:dyDescent="0.25">
      <c r="M24">
        <f t="shared" si="4"/>
        <v>0</v>
      </c>
      <c r="N24">
        <f t="shared" si="5"/>
        <v>0</v>
      </c>
      <c r="O24">
        <f t="shared" si="2"/>
        <v>0</v>
      </c>
    </row>
    <row r="25" spans="1:15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s="1" t="s">
        <v>5</v>
      </c>
      <c r="G25" t="s">
        <v>6</v>
      </c>
      <c r="H25" t="s">
        <v>7</v>
      </c>
      <c r="I25" t="s">
        <v>8</v>
      </c>
      <c r="J25" t="s">
        <v>9</v>
      </c>
      <c r="M25" t="e">
        <f t="shared" si="4"/>
        <v>#VALUE!</v>
      </c>
      <c r="N25" t="e">
        <f t="shared" si="5"/>
        <v>#VALUE!</v>
      </c>
      <c r="O25" t="e">
        <f t="shared" si="2"/>
        <v>#VALUE!</v>
      </c>
    </row>
    <row r="26" spans="1:15" x14ac:dyDescent="0.25">
      <c r="A26">
        <v>50</v>
      </c>
      <c r="B26">
        <v>0.1</v>
      </c>
      <c r="C26">
        <v>1</v>
      </c>
      <c r="D26">
        <v>5</v>
      </c>
      <c r="E26">
        <v>2000</v>
      </c>
      <c r="F26" s="1" t="s">
        <v>12</v>
      </c>
      <c r="G26">
        <v>3.9465844221266033E-2</v>
      </c>
      <c r="H26">
        <v>2.4380634979986354E-2</v>
      </c>
      <c r="I26">
        <v>184.79895500000026</v>
      </c>
      <c r="J26">
        <v>68.540407235808942</v>
      </c>
      <c r="L26">
        <f>G26</f>
        <v>3.9465844221266033E-2</v>
      </c>
      <c r="M26">
        <f>-L26</f>
        <v>-3.9465844221266033E-2</v>
      </c>
      <c r="N26">
        <f>H26-L26*L26</f>
        <v>2.2823082119889117E-2</v>
      </c>
      <c r="O26">
        <f t="shared" si="2"/>
        <v>5.9220655947655977E-4</v>
      </c>
    </row>
    <row r="27" spans="1:15" x14ac:dyDescent="0.25">
      <c r="A27">
        <v>100</v>
      </c>
      <c r="B27">
        <v>0.1</v>
      </c>
      <c r="C27">
        <v>1</v>
      </c>
      <c r="D27">
        <v>5</v>
      </c>
      <c r="E27">
        <v>1000</v>
      </c>
      <c r="F27" s="1" t="s">
        <v>12</v>
      </c>
      <c r="G27">
        <v>4.6111402181265512E-3</v>
      </c>
      <c r="H27">
        <v>1.0974312131475136E-3</v>
      </c>
      <c r="I27">
        <v>376.14356600000019</v>
      </c>
      <c r="J27">
        <v>142.05069156103994</v>
      </c>
      <c r="L27">
        <f>(G27*500-G26)/500</f>
        <v>4.5322085296840191E-3</v>
      </c>
      <c r="M27">
        <f t="shared" ref="M27:M35" si="9">-L27</f>
        <v>-4.5322085296840191E-3</v>
      </c>
      <c r="N27">
        <f t="shared" ref="N27:N35" si="10">H27-L27*L27</f>
        <v>1.0768902989909731E-3</v>
      </c>
      <c r="O27">
        <f t="shared" si="2"/>
        <v>1.2863874645850252E-4</v>
      </c>
    </row>
    <row r="28" spans="1:15" x14ac:dyDescent="0.25">
      <c r="A28">
        <v>150</v>
      </c>
      <c r="B28">
        <v>0.1</v>
      </c>
      <c r="C28">
        <v>1</v>
      </c>
      <c r="D28">
        <v>5</v>
      </c>
      <c r="E28">
        <v>666</v>
      </c>
      <c r="F28" s="1" t="s">
        <v>12</v>
      </c>
      <c r="G28">
        <v>4.5822576494773524E-4</v>
      </c>
      <c r="H28">
        <v>2.5135736215141678E-5</v>
      </c>
      <c r="I28">
        <v>566.99566600000139</v>
      </c>
      <c r="J28">
        <v>216.51105649555817</v>
      </c>
      <c r="L28">
        <f t="shared" ref="L28:L35" si="11">(G28*500-G27)/500</f>
        <v>4.4900348451148216E-4</v>
      </c>
      <c r="M28">
        <f t="shared" si="9"/>
        <v>-4.4900348451148216E-4</v>
      </c>
      <c r="N28">
        <f t="shared" si="10"/>
        <v>2.4934132086038225E-5</v>
      </c>
      <c r="O28">
        <f t="shared" si="2"/>
        <v>1.9574162748043597E-5</v>
      </c>
    </row>
    <row r="29" spans="1:15" x14ac:dyDescent="0.25">
      <c r="A29">
        <v>200</v>
      </c>
      <c r="B29">
        <v>0.1</v>
      </c>
      <c r="C29">
        <v>1</v>
      </c>
      <c r="D29">
        <v>5</v>
      </c>
      <c r="E29">
        <v>500</v>
      </c>
      <c r="F29" s="1" t="s">
        <v>12</v>
      </c>
      <c r="G29">
        <v>1.7393179620979888E-5</v>
      </c>
      <c r="H29">
        <v>1.5835033734876303E-7</v>
      </c>
      <c r="I29">
        <v>818.01953900000217</v>
      </c>
      <c r="J29">
        <v>345.45869965566976</v>
      </c>
      <c r="L29">
        <f t="shared" si="11"/>
        <v>1.6476728091084418E-5</v>
      </c>
      <c r="M29">
        <f t="shared" si="9"/>
        <v>-1.6476728091084418E-5</v>
      </c>
      <c r="N29">
        <f t="shared" si="10"/>
        <v>1.5807885478017549E-7</v>
      </c>
      <c r="O29">
        <f t="shared" si="2"/>
        <v>1.558557959812239E-6</v>
      </c>
    </row>
    <row r="30" spans="1:15" x14ac:dyDescent="0.25">
      <c r="A30">
        <v>250</v>
      </c>
      <c r="B30">
        <v>0.1</v>
      </c>
      <c r="C30">
        <v>1</v>
      </c>
      <c r="D30">
        <v>5</v>
      </c>
      <c r="E30">
        <v>400</v>
      </c>
      <c r="F30" s="1" t="s">
        <v>12</v>
      </c>
      <c r="G30">
        <v>1.8792627875151308E-7</v>
      </c>
      <c r="H30">
        <v>3.261499387942214E-10</v>
      </c>
      <c r="I30">
        <v>1063.1119690000023</v>
      </c>
      <c r="J30">
        <v>467.72617495624172</v>
      </c>
      <c r="L30">
        <f t="shared" si="11"/>
        <v>1.5313991950955329E-7</v>
      </c>
      <c r="M30">
        <f t="shared" si="9"/>
        <v>-1.5313991950955329E-7</v>
      </c>
      <c r="N30">
        <f t="shared" si="10"/>
        <v>3.2612648695927401E-10</v>
      </c>
      <c r="O30">
        <f t="shared" si="2"/>
        <v>7.0791172113555146E-8</v>
      </c>
    </row>
    <row r="31" spans="1:15" x14ac:dyDescent="0.25">
      <c r="A31">
        <v>300</v>
      </c>
      <c r="B31">
        <v>0.1</v>
      </c>
      <c r="C31">
        <v>1</v>
      </c>
      <c r="D31">
        <v>5</v>
      </c>
      <c r="E31">
        <v>333</v>
      </c>
      <c r="F31" s="1" t="s">
        <v>12</v>
      </c>
      <c r="G31">
        <v>1.2008683814237768E-9</v>
      </c>
      <c r="H31">
        <v>6.5260705462643742E-13</v>
      </c>
      <c r="I31">
        <v>1300.097525000001</v>
      </c>
      <c r="J31">
        <v>583.14057545736705</v>
      </c>
      <c r="L31">
        <f t="shared" si="11"/>
        <v>8.2501582392075049E-10</v>
      </c>
      <c r="M31">
        <f t="shared" si="9"/>
        <v>-8.2501582392075049E-10</v>
      </c>
      <c r="N31">
        <f t="shared" si="10"/>
        <v>6.526063739753277E-13</v>
      </c>
      <c r="O31">
        <f t="shared" si="2"/>
        <v>3.1667350039203591E-9</v>
      </c>
    </row>
    <row r="32" spans="1:15" x14ac:dyDescent="0.25">
      <c r="A32">
        <v>350</v>
      </c>
      <c r="B32">
        <v>0.1</v>
      </c>
      <c r="C32">
        <v>1</v>
      </c>
      <c r="D32">
        <v>5</v>
      </c>
      <c r="E32">
        <v>285</v>
      </c>
      <c r="F32" s="1" t="s">
        <v>12</v>
      </c>
      <c r="G32">
        <v>5.3742797268850915E-12</v>
      </c>
      <c r="H32">
        <v>1.3052182307826268E-15</v>
      </c>
      <c r="I32">
        <v>1568.0425600000017</v>
      </c>
      <c r="J32">
        <v>731.923516607789</v>
      </c>
      <c r="L32">
        <f t="shared" si="11"/>
        <v>2.972542964037538E-12</v>
      </c>
      <c r="M32">
        <f t="shared" si="9"/>
        <v>-2.972542964037538E-12</v>
      </c>
      <c r="N32">
        <f t="shared" si="10"/>
        <v>1.3052182219466151E-15</v>
      </c>
      <c r="O32">
        <f t="shared" si="2"/>
        <v>1.4162099168456794E-10</v>
      </c>
    </row>
    <row r="33" spans="1:15" x14ac:dyDescent="0.25">
      <c r="A33">
        <v>400</v>
      </c>
      <c r="B33">
        <v>0.1</v>
      </c>
      <c r="C33">
        <v>1</v>
      </c>
      <c r="D33">
        <v>5</v>
      </c>
      <c r="E33">
        <v>250</v>
      </c>
      <c r="F33" s="1" t="s">
        <v>12</v>
      </c>
      <c r="G33">
        <v>1.8802396862395837E-10</v>
      </c>
      <c r="H33">
        <v>2.0245023079436582E-17</v>
      </c>
      <c r="I33">
        <v>1839.813548000001</v>
      </c>
      <c r="J33">
        <v>884.72410259574883</v>
      </c>
      <c r="L33">
        <f t="shared" si="11"/>
        <v>1.8801322006450458E-10</v>
      </c>
      <c r="M33">
        <f t="shared" si="9"/>
        <v>-1.8801322006450458E-10</v>
      </c>
      <c r="N33">
        <f t="shared" si="10"/>
        <v>2.020967410851756E-17</v>
      </c>
      <c r="O33">
        <f t="shared" si="2"/>
        <v>1.7622427080885431E-11</v>
      </c>
    </row>
    <row r="34" spans="1:15" x14ac:dyDescent="0.25">
      <c r="A34">
        <v>450</v>
      </c>
      <c r="B34">
        <v>0.1</v>
      </c>
      <c r="C34">
        <v>1</v>
      </c>
      <c r="D34">
        <v>5</v>
      </c>
      <c r="E34">
        <v>222</v>
      </c>
      <c r="F34" s="1" t="s">
        <v>12</v>
      </c>
      <c r="G34">
        <v>4.2639532827816151E-13</v>
      </c>
      <c r="H34">
        <v>4.0490139918195706E-20</v>
      </c>
      <c r="I34">
        <v>2153.393000999999</v>
      </c>
      <c r="J34">
        <v>1087.4006161228363</v>
      </c>
      <c r="L34">
        <f t="shared" si="11"/>
        <v>5.0347391030244761E-14</v>
      </c>
      <c r="M34">
        <f t="shared" si="9"/>
        <v>-5.0347391030244761E-14</v>
      </c>
      <c r="N34">
        <f t="shared" si="10"/>
        <v>4.0490137383335921E-20</v>
      </c>
      <c r="O34">
        <f t="shared" si="2"/>
        <v>7.8878872145035957E-13</v>
      </c>
    </row>
    <row r="35" spans="1:15" x14ac:dyDescent="0.25">
      <c r="A35">
        <v>500</v>
      </c>
      <c r="B35">
        <v>0.1</v>
      </c>
      <c r="C35">
        <v>1</v>
      </c>
      <c r="D35">
        <v>5</v>
      </c>
      <c r="E35">
        <v>200</v>
      </c>
      <c r="F35" s="1" t="s">
        <v>12</v>
      </c>
      <c r="G35">
        <v>2.1413814940584537E-12</v>
      </c>
      <c r="H35">
        <v>1.2131144597445929E-21</v>
      </c>
      <c r="I35">
        <v>2392.9697009999977</v>
      </c>
      <c r="J35">
        <v>1205.7675106291965</v>
      </c>
      <c r="L35">
        <f t="shared" si="11"/>
        <v>2.1405287034018974E-12</v>
      </c>
      <c r="M35">
        <f t="shared" si="9"/>
        <v>-2.1405287034018974E-12</v>
      </c>
      <c r="N35">
        <f t="shared" si="10"/>
        <v>1.2085325966145054E-21</v>
      </c>
      <c r="O35">
        <f t="shared" si="2"/>
        <v>1.3627470525602738E-13</v>
      </c>
    </row>
    <row r="36" spans="1:15" x14ac:dyDescent="0.25">
      <c r="M36">
        <f t="shared" si="4"/>
        <v>0</v>
      </c>
      <c r="N36">
        <f t="shared" si="5"/>
        <v>0</v>
      </c>
      <c r="O36">
        <f t="shared" si="2"/>
        <v>0</v>
      </c>
    </row>
    <row r="37" spans="1:15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s="1" t="s">
        <v>5</v>
      </c>
      <c r="G37" t="s">
        <v>6</v>
      </c>
      <c r="H37" t="s">
        <v>7</v>
      </c>
      <c r="I37" t="s">
        <v>8</v>
      </c>
      <c r="J37" t="s">
        <v>9</v>
      </c>
      <c r="M37" t="e">
        <f t="shared" si="4"/>
        <v>#VALUE!</v>
      </c>
      <c r="N37" t="e">
        <f t="shared" si="5"/>
        <v>#VALUE!</v>
      </c>
      <c r="O37" t="e">
        <f t="shared" si="2"/>
        <v>#VALUE!</v>
      </c>
    </row>
    <row r="38" spans="1:15" x14ac:dyDescent="0.25">
      <c r="A38">
        <v>50</v>
      </c>
      <c r="B38">
        <v>0.1</v>
      </c>
      <c r="C38">
        <v>1</v>
      </c>
      <c r="D38">
        <v>5</v>
      </c>
      <c r="E38">
        <v>2000</v>
      </c>
      <c r="F38" s="1" t="s">
        <v>11</v>
      </c>
      <c r="G38">
        <v>-15.380483784941408</v>
      </c>
      <c r="H38">
        <v>238.78637124857141</v>
      </c>
      <c r="I38">
        <v>241.27602299999987</v>
      </c>
      <c r="J38">
        <v>119.809179065923</v>
      </c>
      <c r="L38">
        <f>G38</f>
        <v>-15.380483784941408</v>
      </c>
      <c r="M38">
        <f>-L38</f>
        <v>15.380483784941408</v>
      </c>
      <c r="N38">
        <f>H38-L38*L38</f>
        <v>2.2270897897258521</v>
      </c>
      <c r="O38">
        <f t="shared" si="2"/>
        <v>5.8499873969815814E-3</v>
      </c>
    </row>
    <row r="39" spans="1:15" x14ac:dyDescent="0.25">
      <c r="A39">
        <v>100</v>
      </c>
      <c r="B39">
        <v>0.1</v>
      </c>
      <c r="C39">
        <v>1</v>
      </c>
      <c r="D39">
        <v>5</v>
      </c>
      <c r="E39">
        <v>1000</v>
      </c>
      <c r="F39" s="1" t="s">
        <v>11</v>
      </c>
      <c r="G39">
        <v>-16.317309055981045</v>
      </c>
      <c r="H39">
        <v>267.28999661067968</v>
      </c>
      <c r="I39">
        <v>484.31296299999991</v>
      </c>
      <c r="J39">
        <v>240.35800927052279</v>
      </c>
      <c r="L39">
        <f>(G39*500-G38)/500</f>
        <v>-16.286548088411163</v>
      </c>
      <c r="M39">
        <f t="shared" ref="M39:M47" si="12">-L39</f>
        <v>16.286548088411163</v>
      </c>
      <c r="N39">
        <f t="shared" ref="N39:N47" si="13">H39-L39*L39</f>
        <v>2.0383479745503905</v>
      </c>
      <c r="O39">
        <f t="shared" si="2"/>
        <v>5.5966123964529754E-3</v>
      </c>
    </row>
    <row r="40" spans="1:15" x14ac:dyDescent="0.25">
      <c r="A40">
        <v>150</v>
      </c>
      <c r="B40">
        <v>0.1</v>
      </c>
      <c r="C40">
        <v>1</v>
      </c>
      <c r="D40">
        <v>5</v>
      </c>
      <c r="E40">
        <v>666</v>
      </c>
      <c r="F40" s="1" t="s">
        <v>11</v>
      </c>
      <c r="G40">
        <v>-16.742754805657224</v>
      </c>
      <c r="H40">
        <v>281.05800776918858</v>
      </c>
      <c r="I40">
        <v>737.0297340000003</v>
      </c>
      <c r="J40">
        <v>372.36140630060822</v>
      </c>
      <c r="L40">
        <f t="shared" ref="L40:L47" si="14">(G40*500-G39)/500</f>
        <v>-16.710120187545261</v>
      </c>
      <c r="M40">
        <f t="shared" si="12"/>
        <v>16.710120187545261</v>
      </c>
      <c r="N40">
        <f t="shared" si="13"/>
        <v>1.829891086980922</v>
      </c>
      <c r="O40">
        <f t="shared" si="2"/>
        <v>5.3027199057637999E-3</v>
      </c>
    </row>
    <row r="41" spans="1:15" x14ac:dyDescent="0.25">
      <c r="A41">
        <v>200</v>
      </c>
      <c r="B41">
        <v>0.1</v>
      </c>
      <c r="C41">
        <v>1</v>
      </c>
      <c r="D41">
        <v>5</v>
      </c>
      <c r="E41">
        <v>500</v>
      </c>
      <c r="F41" s="1" t="s">
        <v>11</v>
      </c>
      <c r="G41">
        <v>-17.013262770269417</v>
      </c>
      <c r="H41">
        <v>290.08179679364241</v>
      </c>
      <c r="I41">
        <v>980.46059600000046</v>
      </c>
      <c r="J41">
        <v>493.77664439146633</v>
      </c>
      <c r="L41">
        <f t="shared" si="14"/>
        <v>-16.979777260658107</v>
      </c>
      <c r="M41">
        <f t="shared" si="12"/>
        <v>16.979777260658107</v>
      </c>
      <c r="N41">
        <f t="shared" si="13"/>
        <v>1.768960972080265</v>
      </c>
      <c r="O41">
        <f t="shared" si="2"/>
        <v>5.2136898528176946E-3</v>
      </c>
    </row>
    <row r="42" spans="1:15" x14ac:dyDescent="0.25">
      <c r="A42">
        <v>250</v>
      </c>
      <c r="B42">
        <v>0.1</v>
      </c>
      <c r="C42">
        <v>1</v>
      </c>
      <c r="D42">
        <v>5</v>
      </c>
      <c r="E42">
        <v>400</v>
      </c>
      <c r="F42" s="1" t="s">
        <v>11</v>
      </c>
      <c r="G42">
        <v>-17.196912593664798</v>
      </c>
      <c r="H42">
        <v>296.14452765852832</v>
      </c>
      <c r="I42">
        <v>1235.0960479999997</v>
      </c>
      <c r="J42">
        <v>626.92954503304782</v>
      </c>
      <c r="L42">
        <f t="shared" si="14"/>
        <v>-17.162886068124259</v>
      </c>
      <c r="M42">
        <f t="shared" si="12"/>
        <v>17.162886068124259</v>
      </c>
      <c r="N42">
        <f t="shared" si="13"/>
        <v>1.5798694711145345</v>
      </c>
      <c r="O42">
        <f t="shared" si="2"/>
        <v>4.9271600583839755E-3</v>
      </c>
    </row>
    <row r="43" spans="1:15" x14ac:dyDescent="0.25">
      <c r="A43">
        <v>300</v>
      </c>
      <c r="B43">
        <v>0.1</v>
      </c>
      <c r="C43">
        <v>1</v>
      </c>
      <c r="D43">
        <v>5</v>
      </c>
      <c r="E43">
        <v>333</v>
      </c>
      <c r="F43" s="1" t="s">
        <v>11</v>
      </c>
      <c r="G43">
        <v>-17.406560285057925</v>
      </c>
      <c r="H43">
        <v>303.21859087515264</v>
      </c>
      <c r="I43">
        <v>1492.0664140000006</v>
      </c>
      <c r="J43">
        <v>761.5363184861219</v>
      </c>
      <c r="L43">
        <f t="shared" si="14"/>
        <v>-17.372166459870595</v>
      </c>
      <c r="M43">
        <f t="shared" si="12"/>
        <v>17.372166459870595</v>
      </c>
      <c r="N43">
        <f t="shared" si="13"/>
        <v>1.4264233656998044</v>
      </c>
      <c r="O43">
        <f t="shared" si="2"/>
        <v>4.6817723146997947E-3</v>
      </c>
    </row>
    <row r="44" spans="1:15" x14ac:dyDescent="0.25">
      <c r="A44">
        <v>350</v>
      </c>
      <c r="B44">
        <v>0.1</v>
      </c>
      <c r="C44">
        <v>1</v>
      </c>
      <c r="D44">
        <v>5</v>
      </c>
      <c r="E44">
        <v>285</v>
      </c>
      <c r="F44" s="1" t="s">
        <v>11</v>
      </c>
      <c r="G44">
        <v>-17.433440727419107</v>
      </c>
      <c r="H44">
        <v>304.11214267255446</v>
      </c>
      <c r="I44">
        <v>1678.6383129999997</v>
      </c>
      <c r="J44">
        <v>831.39977260691887</v>
      </c>
      <c r="L44">
        <f t="shared" si="14"/>
        <v>-17.39862760684899</v>
      </c>
      <c r="M44">
        <f t="shared" si="12"/>
        <v>17.39862760684899</v>
      </c>
      <c r="N44">
        <f t="shared" si="13"/>
        <v>1.3999000707466394</v>
      </c>
      <c r="O44">
        <f t="shared" si="2"/>
        <v>4.6380410139541849E-3</v>
      </c>
    </row>
    <row r="45" spans="1:15" x14ac:dyDescent="0.25">
      <c r="A45">
        <v>400</v>
      </c>
      <c r="B45">
        <v>0.1</v>
      </c>
      <c r="C45">
        <v>1</v>
      </c>
      <c r="D45">
        <v>5</v>
      </c>
      <c r="E45">
        <v>250</v>
      </c>
      <c r="F45" s="1" t="s">
        <v>11</v>
      </c>
      <c r="G45">
        <v>-17.549553471594976</v>
      </c>
      <c r="H45">
        <v>308.19724913579682</v>
      </c>
      <c r="I45">
        <v>1866.5766629999994</v>
      </c>
      <c r="J45">
        <v>902.17258554978332</v>
      </c>
      <c r="L45">
        <f t="shared" si="14"/>
        <v>-17.514686590140141</v>
      </c>
      <c r="M45">
        <f t="shared" si="12"/>
        <v>17.514686590140141</v>
      </c>
      <c r="N45">
        <f t="shared" si="13"/>
        <v>1.4330027849619569</v>
      </c>
      <c r="O45">
        <f t="shared" si="2"/>
        <v>4.692557297981498E-3</v>
      </c>
    </row>
    <row r="46" spans="1:15" x14ac:dyDescent="0.25">
      <c r="A46">
        <v>450</v>
      </c>
      <c r="B46">
        <v>0.1</v>
      </c>
      <c r="C46">
        <v>1</v>
      </c>
      <c r="D46">
        <v>5</v>
      </c>
      <c r="E46">
        <v>222</v>
      </c>
      <c r="F46" s="1" t="s">
        <v>11</v>
      </c>
      <c r="G46">
        <v>-17.66963757004627</v>
      </c>
      <c r="H46">
        <v>312.31353727426966</v>
      </c>
      <c r="I46">
        <v>2049.4542559999991</v>
      </c>
      <c r="J46">
        <v>969.17514339840523</v>
      </c>
      <c r="L46">
        <f t="shared" si="14"/>
        <v>-17.63453846310308</v>
      </c>
      <c r="M46">
        <f t="shared" si="12"/>
        <v>17.63453846310308</v>
      </c>
      <c r="N46">
        <f t="shared" si="13"/>
        <v>1.3365904676077207</v>
      </c>
      <c r="O46">
        <f t="shared" si="2"/>
        <v>4.5319514297317079E-3</v>
      </c>
    </row>
    <row r="47" spans="1:15" x14ac:dyDescent="0.25">
      <c r="A47">
        <v>500</v>
      </c>
      <c r="B47">
        <v>0.1</v>
      </c>
      <c r="C47">
        <v>1</v>
      </c>
      <c r="D47">
        <v>5</v>
      </c>
      <c r="E47">
        <v>200</v>
      </c>
      <c r="F47" s="1" t="s">
        <v>11</v>
      </c>
      <c r="G47">
        <v>-17.718247018953175</v>
      </c>
      <c r="H47">
        <v>313.89259014042187</v>
      </c>
      <c r="I47">
        <v>2235.8934839999997</v>
      </c>
      <c r="J47">
        <v>1038.8161089783407</v>
      </c>
      <c r="L47">
        <f t="shared" si="14"/>
        <v>-17.682907743813082</v>
      </c>
      <c r="M47">
        <f t="shared" si="12"/>
        <v>17.682907743813082</v>
      </c>
      <c r="N47">
        <f t="shared" si="13"/>
        <v>1.2073638642172</v>
      </c>
      <c r="O47">
        <f t="shared" si="2"/>
        <v>4.3073003242294567E-3</v>
      </c>
    </row>
    <row r="48" spans="1:15" x14ac:dyDescent="0.25">
      <c r="M48">
        <f t="shared" si="4"/>
        <v>0</v>
      </c>
      <c r="N48">
        <f t="shared" si="5"/>
        <v>0</v>
      </c>
      <c r="O48">
        <f t="shared" si="2"/>
        <v>0</v>
      </c>
    </row>
    <row r="49" spans="1:15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s="1" t="s">
        <v>5</v>
      </c>
      <c r="G49" t="s">
        <v>6</v>
      </c>
      <c r="H49" t="s">
        <v>7</v>
      </c>
      <c r="I49" t="s">
        <v>8</v>
      </c>
      <c r="J49" t="s">
        <v>9</v>
      </c>
      <c r="M49" t="e">
        <f t="shared" si="4"/>
        <v>#VALUE!</v>
      </c>
      <c r="N49" t="e">
        <f t="shared" si="5"/>
        <v>#VALUE!</v>
      </c>
      <c r="O49" t="e">
        <f t="shared" si="2"/>
        <v>#VALUE!</v>
      </c>
    </row>
    <row r="50" spans="1:15" x14ac:dyDescent="0.25">
      <c r="A50">
        <v>50</v>
      </c>
      <c r="B50">
        <v>0.1</v>
      </c>
      <c r="C50">
        <v>1</v>
      </c>
      <c r="D50">
        <v>5</v>
      </c>
      <c r="E50">
        <v>2000</v>
      </c>
      <c r="F50" s="1" t="s">
        <v>13</v>
      </c>
      <c r="G50">
        <v>-0.99631449633441671</v>
      </c>
      <c r="H50">
        <v>0.99264619085759098</v>
      </c>
      <c r="I50">
        <v>206.46961899999997</v>
      </c>
      <c r="J50">
        <v>85.379654266520973</v>
      </c>
      <c r="L50">
        <f>G50</f>
        <v>-0.99631449633441671</v>
      </c>
      <c r="M50">
        <f>-L50</f>
        <v>0.99631449633441671</v>
      </c>
      <c r="N50">
        <f>H50-L50*L50</f>
        <v>3.6152514885090525E-6</v>
      </c>
      <c r="O50">
        <f t="shared" si="2"/>
        <v>7.4534153562662469E-6</v>
      </c>
    </row>
    <row r="51" spans="1:15" x14ac:dyDescent="0.25">
      <c r="A51">
        <v>100</v>
      </c>
      <c r="B51">
        <v>0.1</v>
      </c>
      <c r="C51">
        <v>1</v>
      </c>
      <c r="D51">
        <v>5</v>
      </c>
      <c r="E51">
        <v>1000</v>
      </c>
      <c r="F51" s="1" t="s">
        <v>13</v>
      </c>
      <c r="G51">
        <v>-0.99921882823627439</v>
      </c>
      <c r="H51">
        <v>0.99645036252018726</v>
      </c>
      <c r="I51">
        <v>411.02817299999992</v>
      </c>
      <c r="J51">
        <v>169.19015190017328</v>
      </c>
      <c r="L51">
        <f>(G51*500-G50)/500</f>
        <v>-0.99722619924360545</v>
      </c>
      <c r="M51">
        <f t="shared" ref="M51:M59" si="15">-L51</f>
        <v>0.99722619924360545</v>
      </c>
      <c r="N51">
        <f t="shared" ref="N51:N59" si="16">H51-L51*L51</f>
        <v>1.9902700623402048E-3</v>
      </c>
      <c r="O51">
        <f t="shared" si="2"/>
        <v>1.7488077620466045E-4</v>
      </c>
    </row>
    <row r="52" spans="1:15" x14ac:dyDescent="0.25">
      <c r="A52">
        <v>150</v>
      </c>
      <c r="B52">
        <v>0.1</v>
      </c>
      <c r="C52">
        <v>1</v>
      </c>
      <c r="D52">
        <v>5</v>
      </c>
      <c r="E52">
        <v>666</v>
      </c>
      <c r="F52" s="1" t="s">
        <v>13</v>
      </c>
      <c r="G52">
        <v>-0.99989292275317709</v>
      </c>
      <c r="H52">
        <v>0.9977911624984197</v>
      </c>
      <c r="I52">
        <v>614.98926699999981</v>
      </c>
      <c r="J52">
        <v>252.51283152179289</v>
      </c>
      <c r="L52">
        <f t="shared" ref="L52:L59" si="17">(G52*500-G51)/500</f>
        <v>-0.99789448509670453</v>
      </c>
      <c r="M52">
        <f t="shared" si="15"/>
        <v>0.99789448509670453</v>
      </c>
      <c r="N52">
        <f t="shared" si="16"/>
        <v>1.9977591120026172E-3</v>
      </c>
      <c r="O52">
        <f t="shared" si="2"/>
        <v>1.7520949066382509E-4</v>
      </c>
    </row>
    <row r="53" spans="1:15" x14ac:dyDescent="0.25">
      <c r="A53">
        <v>200</v>
      </c>
      <c r="B53">
        <v>0.1</v>
      </c>
      <c r="C53">
        <v>1</v>
      </c>
      <c r="D53">
        <v>5</v>
      </c>
      <c r="E53">
        <v>500</v>
      </c>
      <c r="F53" s="1" t="s">
        <v>13</v>
      </c>
      <c r="G53">
        <v>-1.0005950144844631</v>
      </c>
      <c r="H53">
        <v>0.99919197098939794</v>
      </c>
      <c r="I53">
        <v>819.36838999999964</v>
      </c>
      <c r="J53">
        <v>336.15912615292797</v>
      </c>
      <c r="L53">
        <f t="shared" si="17"/>
        <v>-0.99859522863895667</v>
      </c>
      <c r="M53">
        <f t="shared" si="15"/>
        <v>0.99859522863895667</v>
      </c>
      <c r="N53">
        <f t="shared" si="16"/>
        <v>1.9995403289078117E-3</v>
      </c>
      <c r="O53">
        <f t="shared" si="2"/>
        <v>1.7528758230442052E-4</v>
      </c>
    </row>
    <row r="54" spans="1:15" x14ac:dyDescent="0.25">
      <c r="A54">
        <v>250</v>
      </c>
      <c r="B54">
        <v>0.1</v>
      </c>
      <c r="C54">
        <v>1</v>
      </c>
      <c r="D54">
        <v>5</v>
      </c>
      <c r="E54">
        <v>400</v>
      </c>
      <c r="F54" s="1" t="s">
        <v>13</v>
      </c>
      <c r="G54">
        <v>-1.0009686668136009</v>
      </c>
      <c r="H54">
        <v>0.99993755048479538</v>
      </c>
      <c r="I54">
        <v>1023.2826509999996</v>
      </c>
      <c r="J54">
        <v>419.4085771725841</v>
      </c>
      <c r="L54">
        <f t="shared" si="17"/>
        <v>-0.99896747678463194</v>
      </c>
      <c r="M54">
        <f t="shared" si="15"/>
        <v>0.99896747678463194</v>
      </c>
      <c r="N54">
        <f t="shared" si="16"/>
        <v>2.0015308113412456E-3</v>
      </c>
      <c r="O54">
        <f t="shared" si="2"/>
        <v>1.7537480736808838E-4</v>
      </c>
    </row>
    <row r="55" spans="1:15" x14ac:dyDescent="0.25">
      <c r="A55">
        <v>300</v>
      </c>
      <c r="B55">
        <v>0.1</v>
      </c>
      <c r="C55">
        <v>1</v>
      </c>
      <c r="D55">
        <v>5</v>
      </c>
      <c r="E55">
        <v>333</v>
      </c>
      <c r="F55" s="1" t="s">
        <v>13</v>
      </c>
      <c r="G55">
        <v>-1.0012353962811407</v>
      </c>
      <c r="H55">
        <v>1.0004697080359917</v>
      </c>
      <c r="I55">
        <v>1227.5790580000003</v>
      </c>
      <c r="J55">
        <v>503.00427895231729</v>
      </c>
      <c r="L55">
        <f t="shared" si="17"/>
        <v>-0.99923345894751348</v>
      </c>
      <c r="M55">
        <f t="shared" si="15"/>
        <v>0.99923345894751348</v>
      </c>
      <c r="N55">
        <f t="shared" si="16"/>
        <v>2.002202555779542E-3</v>
      </c>
      <c r="O55">
        <f t="shared" si="2"/>
        <v>1.7540423413683819E-4</v>
      </c>
    </row>
    <row r="56" spans="1:15" x14ac:dyDescent="0.25">
      <c r="A56">
        <v>350</v>
      </c>
      <c r="B56">
        <v>0.1</v>
      </c>
      <c r="C56">
        <v>1</v>
      </c>
      <c r="D56">
        <v>5</v>
      </c>
      <c r="E56">
        <v>285</v>
      </c>
      <c r="F56" s="1" t="s">
        <v>13</v>
      </c>
      <c r="G56">
        <v>-1.0014606720471002</v>
      </c>
      <c r="H56">
        <v>1.0009192599235852</v>
      </c>
      <c r="I56">
        <v>1431.9388300000019</v>
      </c>
      <c r="J56">
        <v>586.66395039413328</v>
      </c>
      <c r="L56">
        <f t="shared" si="17"/>
        <v>-0.99945820125453788</v>
      </c>
      <c r="M56">
        <f t="shared" si="15"/>
        <v>0.99945820125453788</v>
      </c>
      <c r="N56">
        <f t="shared" si="16"/>
        <v>2.0025638686288483E-3</v>
      </c>
      <c r="O56">
        <f t="shared" si="2"/>
        <v>1.7542005994440409E-4</v>
      </c>
    </row>
    <row r="57" spans="1:15" x14ac:dyDescent="0.25">
      <c r="A57">
        <v>400</v>
      </c>
      <c r="B57">
        <v>0.1</v>
      </c>
      <c r="C57">
        <v>1</v>
      </c>
      <c r="D57">
        <v>5</v>
      </c>
      <c r="E57">
        <v>250</v>
      </c>
      <c r="F57" s="1" t="s">
        <v>13</v>
      </c>
      <c r="G57">
        <v>-1.0015648058890427</v>
      </c>
      <c r="H57">
        <v>1.0011271850070091</v>
      </c>
      <c r="I57">
        <v>1636.5650340000027</v>
      </c>
      <c r="J57">
        <v>670.49101021778017</v>
      </c>
      <c r="L57">
        <f t="shared" si="17"/>
        <v>-0.99956188454494865</v>
      </c>
      <c r="M57">
        <f t="shared" si="15"/>
        <v>0.99956188454494865</v>
      </c>
      <c r="N57">
        <f t="shared" si="16"/>
        <v>2.0032239719598444E-3</v>
      </c>
      <c r="O57">
        <f t="shared" si="2"/>
        <v>1.7544896934072813E-4</v>
      </c>
    </row>
    <row r="58" spans="1:15" x14ac:dyDescent="0.25">
      <c r="A58">
        <v>450</v>
      </c>
      <c r="B58">
        <v>0.1</v>
      </c>
      <c r="C58">
        <v>1</v>
      </c>
      <c r="D58">
        <v>5</v>
      </c>
      <c r="E58">
        <v>222</v>
      </c>
      <c r="F58" s="1" t="s">
        <v>13</v>
      </c>
      <c r="G58">
        <v>-1.0016731807254311</v>
      </c>
      <c r="H58">
        <v>1.0013434084409958</v>
      </c>
      <c r="I58">
        <v>1841.881261000002</v>
      </c>
      <c r="J58">
        <v>754.92728160445631</v>
      </c>
      <c r="L58">
        <f t="shared" si="17"/>
        <v>-0.99967005111365304</v>
      </c>
      <c r="M58">
        <f t="shared" si="15"/>
        <v>0.99967005111365304</v>
      </c>
      <c r="N58">
        <f t="shared" si="16"/>
        <v>2.0031973474221587E-3</v>
      </c>
      <c r="O58">
        <f t="shared" si="2"/>
        <v>1.7544780340439676E-4</v>
      </c>
    </row>
    <row r="59" spans="1:15" x14ac:dyDescent="0.25">
      <c r="A59">
        <v>500</v>
      </c>
      <c r="B59">
        <v>0.1</v>
      </c>
      <c r="C59">
        <v>1</v>
      </c>
      <c r="D59">
        <v>5</v>
      </c>
      <c r="E59">
        <v>200</v>
      </c>
      <c r="F59" s="1" t="s">
        <v>13</v>
      </c>
      <c r="G59">
        <v>-1.0017358239834155</v>
      </c>
      <c r="H59">
        <v>1.0014684086088737</v>
      </c>
      <c r="I59">
        <v>2099.4017209999988</v>
      </c>
      <c r="J59">
        <v>898.03402799433786</v>
      </c>
      <c r="L59">
        <f t="shared" si="17"/>
        <v>-0.99973247762196471</v>
      </c>
      <c r="M59">
        <f t="shared" si="15"/>
        <v>0.99973247762196471</v>
      </c>
      <c r="N59">
        <f t="shared" si="16"/>
        <v>2.0033817967214373E-3</v>
      </c>
      <c r="O59">
        <f t="shared" si="2"/>
        <v>1.7545588061145253E-4</v>
      </c>
    </row>
    <row r="60" spans="1:15" x14ac:dyDescent="0.25">
      <c r="M60">
        <f t="shared" si="4"/>
        <v>0</v>
      </c>
      <c r="N60">
        <f t="shared" si="5"/>
        <v>0</v>
      </c>
      <c r="O60">
        <f t="shared" si="2"/>
        <v>0</v>
      </c>
    </row>
    <row r="61" spans="1:15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s="1" t="s">
        <v>5</v>
      </c>
      <c r="G61" t="s">
        <v>6</v>
      </c>
      <c r="H61" t="s">
        <v>7</v>
      </c>
      <c r="I61" t="s">
        <v>8</v>
      </c>
      <c r="J61" t="s">
        <v>9</v>
      </c>
      <c r="M61" t="e">
        <f t="shared" si="4"/>
        <v>#VALUE!</v>
      </c>
      <c r="N61" t="e">
        <f t="shared" si="5"/>
        <v>#VALUE!</v>
      </c>
      <c r="O61" t="e">
        <f t="shared" si="2"/>
        <v>#VALUE!</v>
      </c>
    </row>
    <row r="62" spans="1:15" x14ac:dyDescent="0.25">
      <c r="A62">
        <v>50</v>
      </c>
      <c r="B62">
        <v>0.1</v>
      </c>
      <c r="C62">
        <v>1</v>
      </c>
      <c r="D62">
        <v>5</v>
      </c>
      <c r="E62">
        <v>2000</v>
      </c>
      <c r="F62" s="1" t="s">
        <v>14</v>
      </c>
      <c r="G62">
        <v>-0.98821992890922683</v>
      </c>
      <c r="H62">
        <v>0.97753343143802518</v>
      </c>
      <c r="I62">
        <v>267.40318400000041</v>
      </c>
      <c r="J62">
        <v>151.58680796925606</v>
      </c>
      <c r="L62">
        <f>G62</f>
        <v>-0.98821992890922683</v>
      </c>
      <c r="M62">
        <f>-L62</f>
        <v>0.98821992890922683</v>
      </c>
      <c r="N62">
        <f>H62-L62*L62</f>
        <v>9.5480354466781492E-4</v>
      </c>
      <c r="O62">
        <f t="shared" si="2"/>
        <v>1.2112759053487157E-4</v>
      </c>
    </row>
    <row r="63" spans="1:15" x14ac:dyDescent="0.25">
      <c r="A63">
        <v>100</v>
      </c>
      <c r="B63">
        <v>0.1</v>
      </c>
      <c r="C63">
        <v>1</v>
      </c>
      <c r="D63">
        <v>5</v>
      </c>
      <c r="E63">
        <v>1000</v>
      </c>
      <c r="F63" s="1" t="s">
        <v>14</v>
      </c>
      <c r="G63">
        <v>-0.99902319845816279</v>
      </c>
      <c r="H63">
        <v>0.99622458723586893</v>
      </c>
      <c r="I63">
        <v>509.49557200000027</v>
      </c>
      <c r="J63">
        <v>273.45321376376</v>
      </c>
      <c r="L63">
        <f>(G63*500-G62)/500</f>
        <v>-0.99704675860034431</v>
      </c>
      <c r="M63">
        <f t="shared" ref="M63:M71" si="18">-L63</f>
        <v>0.99704675860034431</v>
      </c>
      <c r="N63">
        <f t="shared" ref="N63:N71" si="19">H63-L63*L63</f>
        <v>2.1223484004156967E-3</v>
      </c>
      <c r="O63">
        <f t="shared" si="2"/>
        <v>1.8059029447937606E-4</v>
      </c>
    </row>
    <row r="64" spans="1:15" x14ac:dyDescent="0.25">
      <c r="A64">
        <v>150</v>
      </c>
      <c r="B64">
        <v>0.1</v>
      </c>
      <c r="C64">
        <v>1</v>
      </c>
      <c r="D64">
        <v>5</v>
      </c>
      <c r="E64">
        <v>666</v>
      </c>
      <c r="F64" s="1" t="s">
        <v>14</v>
      </c>
      <c r="G64">
        <v>-0.99975758275393045</v>
      </c>
      <c r="H64">
        <v>0.99761958217279278</v>
      </c>
      <c r="I64">
        <v>749.11937999999896</v>
      </c>
      <c r="J64">
        <v>392.13504776291188</v>
      </c>
      <c r="L64">
        <f t="shared" ref="L64:L71" si="20">(G64*500-G63)/500</f>
        <v>-0.99775953635701409</v>
      </c>
      <c r="M64">
        <f t="shared" si="18"/>
        <v>0.99775953635701409</v>
      </c>
      <c r="N64">
        <f t="shared" si="19"/>
        <v>2.0954897814290385E-3</v>
      </c>
      <c r="O64">
        <f t="shared" si="2"/>
        <v>1.7944395831944628E-4</v>
      </c>
    </row>
    <row r="65" spans="1:15" x14ac:dyDescent="0.25">
      <c r="A65">
        <v>200</v>
      </c>
      <c r="B65">
        <v>0.1</v>
      </c>
      <c r="C65">
        <v>1</v>
      </c>
      <c r="D65">
        <v>5</v>
      </c>
      <c r="E65">
        <v>500</v>
      </c>
      <c r="F65" s="1" t="s">
        <v>14</v>
      </c>
      <c r="G65">
        <v>-1.0003731025979938</v>
      </c>
      <c r="H65">
        <v>0.99881673585689135</v>
      </c>
      <c r="I65">
        <v>1011.3168339999988</v>
      </c>
      <c r="J65">
        <v>530.14397186963481</v>
      </c>
      <c r="L65">
        <f t="shared" si="20"/>
        <v>-0.99837358743248594</v>
      </c>
      <c r="M65">
        <f t="shared" si="18"/>
        <v>0.99837358743248594</v>
      </c>
      <c r="N65">
        <f t="shared" si="19"/>
        <v>2.0669157740796917E-3</v>
      </c>
      <c r="O65">
        <f t="shared" si="2"/>
        <v>1.7821631393006134E-4</v>
      </c>
    </row>
    <row r="66" spans="1:15" x14ac:dyDescent="0.25">
      <c r="A66">
        <v>250</v>
      </c>
      <c r="B66">
        <v>0.1</v>
      </c>
      <c r="C66">
        <v>1</v>
      </c>
      <c r="D66">
        <v>5</v>
      </c>
      <c r="E66">
        <v>400</v>
      </c>
      <c r="F66" s="1" t="s">
        <v>14</v>
      </c>
      <c r="G66">
        <v>-1.0009322112219616</v>
      </c>
      <c r="H66">
        <v>0.9999062128197761</v>
      </c>
      <c r="I66">
        <v>1254.6614249999986</v>
      </c>
      <c r="J66">
        <v>653.0952293255508</v>
      </c>
      <c r="L66">
        <f t="shared" si="20"/>
        <v>-0.99893146501676566</v>
      </c>
      <c r="M66">
        <f t="shared" si="18"/>
        <v>0.99893146501676566</v>
      </c>
      <c r="N66">
        <f t="shared" si="19"/>
        <v>2.0421410192343892E-3</v>
      </c>
      <c r="O66">
        <f t="shared" si="2"/>
        <v>1.7714501335900853E-4</v>
      </c>
    </row>
    <row r="67" spans="1:15" x14ac:dyDescent="0.25">
      <c r="A67">
        <v>300</v>
      </c>
      <c r="B67">
        <v>0.1</v>
      </c>
      <c r="C67">
        <v>1</v>
      </c>
      <c r="D67">
        <v>5</v>
      </c>
      <c r="E67">
        <v>333</v>
      </c>
      <c r="F67" s="1" t="s">
        <v>14</v>
      </c>
      <c r="G67">
        <v>-1.0011915973575753</v>
      </c>
      <c r="H67">
        <v>1.0004094057244479</v>
      </c>
      <c r="I67">
        <v>1489.9947190000005</v>
      </c>
      <c r="J67">
        <v>769.00239725940605</v>
      </c>
      <c r="L67">
        <f t="shared" si="20"/>
        <v>-0.99918973293513147</v>
      </c>
      <c r="M67">
        <f t="shared" si="18"/>
        <v>0.99918973293513147</v>
      </c>
      <c r="N67">
        <f t="shared" si="19"/>
        <v>2.0292833214685668E-3</v>
      </c>
      <c r="O67">
        <f t="shared" ref="O67:O95" si="21">$P$1*SQRT(N67)/$Q$1</f>
        <v>1.765864638952108E-4</v>
      </c>
    </row>
    <row r="68" spans="1:15" x14ac:dyDescent="0.25">
      <c r="A68">
        <v>350</v>
      </c>
      <c r="B68">
        <v>0.1</v>
      </c>
      <c r="C68">
        <v>1</v>
      </c>
      <c r="D68">
        <v>5</v>
      </c>
      <c r="E68">
        <v>285</v>
      </c>
      <c r="F68" s="1" t="s">
        <v>14</v>
      </c>
      <c r="G68">
        <v>-1.0017388390848077</v>
      </c>
      <c r="H68">
        <v>1.0014773034852336</v>
      </c>
      <c r="I68">
        <v>1727.9329099999998</v>
      </c>
      <c r="J68">
        <v>886.76807155953793</v>
      </c>
      <c r="L68">
        <f t="shared" si="20"/>
        <v>-0.99973645589009241</v>
      </c>
      <c r="M68">
        <f t="shared" si="18"/>
        <v>0.99973645589009241</v>
      </c>
      <c r="N68">
        <f t="shared" si="19"/>
        <v>2.0043222495508273E-3</v>
      </c>
      <c r="O68">
        <f t="shared" si="21"/>
        <v>1.7549705813915467E-4</v>
      </c>
    </row>
    <row r="69" spans="1:15" x14ac:dyDescent="0.25">
      <c r="A69">
        <v>400</v>
      </c>
      <c r="B69">
        <v>0.1</v>
      </c>
      <c r="C69">
        <v>1</v>
      </c>
      <c r="D69">
        <v>5</v>
      </c>
      <c r="E69">
        <v>250</v>
      </c>
      <c r="F69" s="1" t="s">
        <v>14</v>
      </c>
      <c r="G69">
        <v>-1.0016117094885784</v>
      </c>
      <c r="H69">
        <v>1.001227161573538</v>
      </c>
      <c r="I69">
        <v>1958.5923960000002</v>
      </c>
      <c r="J69">
        <v>998.46501618355774</v>
      </c>
      <c r="L69">
        <f t="shared" si="20"/>
        <v>-0.99960823181040881</v>
      </c>
      <c r="M69">
        <f t="shared" si="18"/>
        <v>0.99960823181040881</v>
      </c>
      <c r="N69">
        <f t="shared" si="19"/>
        <v>2.0105444704059394E-3</v>
      </c>
      <c r="O69">
        <f t="shared" si="21"/>
        <v>1.757692537107836E-4</v>
      </c>
    </row>
    <row r="70" spans="1:15" x14ac:dyDescent="0.25">
      <c r="A70">
        <v>450</v>
      </c>
      <c r="B70">
        <v>0.1</v>
      </c>
      <c r="C70">
        <v>1</v>
      </c>
      <c r="D70">
        <v>5</v>
      </c>
      <c r="E70">
        <v>222</v>
      </c>
      <c r="F70" s="1" t="s">
        <v>14</v>
      </c>
      <c r="G70">
        <v>-1.0016648916792585</v>
      </c>
      <c r="H70">
        <v>1.0013325523046335</v>
      </c>
      <c r="I70">
        <v>2190.924156000005</v>
      </c>
      <c r="J70">
        <v>1110.8114704653226</v>
      </c>
      <c r="L70">
        <f t="shared" si="20"/>
        <v>-0.99966166826028136</v>
      </c>
      <c r="M70">
        <f t="shared" si="18"/>
        <v>0.99966166826028136</v>
      </c>
      <c r="N70">
        <f t="shared" si="19"/>
        <v>2.0091013157046422E-3</v>
      </c>
      <c r="O70">
        <f t="shared" si="21"/>
        <v>1.7570615941862655E-4</v>
      </c>
    </row>
    <row r="71" spans="1:15" x14ac:dyDescent="0.25">
      <c r="A71">
        <v>500</v>
      </c>
      <c r="B71">
        <v>0.1</v>
      </c>
      <c r="C71">
        <v>1</v>
      </c>
      <c r="D71">
        <v>5</v>
      </c>
      <c r="E71">
        <v>200</v>
      </c>
      <c r="F71" s="1" t="s">
        <v>14</v>
      </c>
      <c r="G71">
        <v>-1.0017155687745241</v>
      </c>
      <c r="H71">
        <v>1.0014326947053045</v>
      </c>
      <c r="I71">
        <v>2376.352677000004</v>
      </c>
      <c r="J71">
        <v>1181.0488894690416</v>
      </c>
      <c r="L71">
        <f t="shared" si="20"/>
        <v>-0.99971223899116557</v>
      </c>
      <c r="M71">
        <f t="shared" si="18"/>
        <v>0.99971223899116557</v>
      </c>
      <c r="N71">
        <f t="shared" si="19"/>
        <v>2.0081339165751722E-3</v>
      </c>
      <c r="O71">
        <f t="shared" si="21"/>
        <v>1.7566385233069645E-4</v>
      </c>
    </row>
    <row r="72" spans="1:15" x14ac:dyDescent="0.25">
      <c r="M72">
        <f t="shared" ref="M72:M95" si="22">-G72</f>
        <v>0</v>
      </c>
      <c r="N72">
        <f t="shared" ref="N72:N95" si="23">H72-G72*G72</f>
        <v>0</v>
      </c>
      <c r="O72">
        <f t="shared" si="21"/>
        <v>0</v>
      </c>
    </row>
    <row r="73" spans="1:15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s="1" t="s">
        <v>5</v>
      </c>
      <c r="G73" t="s">
        <v>6</v>
      </c>
      <c r="H73" t="s">
        <v>7</v>
      </c>
      <c r="I73" t="s">
        <v>8</v>
      </c>
      <c r="J73" t="s">
        <v>9</v>
      </c>
      <c r="M73" t="e">
        <f t="shared" si="22"/>
        <v>#VALUE!</v>
      </c>
      <c r="N73" t="e">
        <f t="shared" si="23"/>
        <v>#VALUE!</v>
      </c>
      <c r="O73" t="e">
        <f t="shared" si="21"/>
        <v>#VALUE!</v>
      </c>
    </row>
    <row r="74" spans="1:15" x14ac:dyDescent="0.25">
      <c r="A74">
        <v>50</v>
      </c>
      <c r="B74">
        <v>0.1</v>
      </c>
      <c r="C74">
        <v>1</v>
      </c>
      <c r="D74">
        <v>5</v>
      </c>
      <c r="E74">
        <v>2000</v>
      </c>
      <c r="F74" s="1" t="s">
        <v>15</v>
      </c>
      <c r="G74">
        <v>-105.71358157738007</v>
      </c>
      <c r="H74">
        <v>11191.695214541329</v>
      </c>
      <c r="I74">
        <v>209.07563399999995</v>
      </c>
      <c r="J74">
        <v>87.58875286632005</v>
      </c>
      <c r="L74">
        <f>G74</f>
        <v>-105.71358157738007</v>
      </c>
      <c r="M74">
        <f>-L74</f>
        <v>105.71358157738007</v>
      </c>
      <c r="N74">
        <f>H74-L74*L74</f>
        <v>16.333884623938502</v>
      </c>
      <c r="O74">
        <f t="shared" si="21"/>
        <v>1.5842758746041949E-2</v>
      </c>
    </row>
    <row r="75" spans="1:15" x14ac:dyDescent="0.25">
      <c r="A75">
        <v>100</v>
      </c>
      <c r="B75">
        <v>0.1</v>
      </c>
      <c r="C75">
        <v>1</v>
      </c>
      <c r="D75">
        <v>5</v>
      </c>
      <c r="E75">
        <v>1000</v>
      </c>
      <c r="F75" s="1" t="s">
        <v>15</v>
      </c>
      <c r="G75">
        <v>-106.84965596485834</v>
      </c>
      <c r="H75">
        <v>11395.689431077533</v>
      </c>
      <c r="I75">
        <v>419.48010300000016</v>
      </c>
      <c r="J75">
        <v>176.27450401265489</v>
      </c>
      <c r="L75">
        <f>(G75*500-G74)/500</f>
        <v>-106.63822880170359</v>
      </c>
      <c r="M75">
        <f t="shared" ref="M75:M83" si="24">-L75</f>
        <v>106.63822880170359</v>
      </c>
      <c r="N75">
        <f t="shared" ref="N75:N83" si="25">H75-L75*L75</f>
        <v>23.977589113048452</v>
      </c>
      <c r="O75">
        <f t="shared" si="21"/>
        <v>1.9195031267146917E-2</v>
      </c>
    </row>
    <row r="76" spans="1:15" x14ac:dyDescent="0.25">
      <c r="A76">
        <v>150</v>
      </c>
      <c r="B76">
        <v>0.1</v>
      </c>
      <c r="C76">
        <v>1</v>
      </c>
      <c r="D76">
        <v>5</v>
      </c>
      <c r="E76">
        <v>666</v>
      </c>
      <c r="F76" s="1" t="s">
        <v>15</v>
      </c>
      <c r="G76">
        <v>-106.9457629185339</v>
      </c>
      <c r="H76">
        <v>11414.572103141316</v>
      </c>
      <c r="I76">
        <v>631.04495200000008</v>
      </c>
      <c r="J76">
        <v>265.89995880261989</v>
      </c>
      <c r="L76">
        <f t="shared" ref="L76:L83" si="26">(G76*500-G75)/500</f>
        <v>-106.73206360660419</v>
      </c>
      <c r="M76">
        <f t="shared" si="24"/>
        <v>106.73206360660419</v>
      </c>
      <c r="N76">
        <f t="shared" si="25"/>
        <v>22.838701417114862</v>
      </c>
      <c r="O76">
        <f t="shared" si="21"/>
        <v>1.8733622753113018E-2</v>
      </c>
    </row>
    <row r="77" spans="1:15" x14ac:dyDescent="0.25">
      <c r="A77">
        <v>200</v>
      </c>
      <c r="B77">
        <v>0.1</v>
      </c>
      <c r="C77">
        <v>1</v>
      </c>
      <c r="D77">
        <v>5</v>
      </c>
      <c r="E77">
        <v>500</v>
      </c>
      <c r="F77" s="1" t="s">
        <v>15</v>
      </c>
      <c r="G77">
        <v>-106.95580448222692</v>
      </c>
      <c r="H77">
        <v>11416.7101653106</v>
      </c>
      <c r="I77">
        <v>844.15974399999902</v>
      </c>
      <c r="J77">
        <v>356.91557418793201</v>
      </c>
      <c r="L77">
        <f t="shared" si="26"/>
        <v>-106.74191295638985</v>
      </c>
      <c r="M77">
        <f t="shared" si="24"/>
        <v>106.74191295638985</v>
      </c>
      <c r="N77">
        <f t="shared" si="25"/>
        <v>22.874183721092777</v>
      </c>
      <c r="O77">
        <f t="shared" si="21"/>
        <v>1.8748169423487723E-2</v>
      </c>
    </row>
    <row r="78" spans="1:15" x14ac:dyDescent="0.25">
      <c r="A78">
        <v>250</v>
      </c>
      <c r="B78">
        <v>0.1</v>
      </c>
      <c r="C78">
        <v>1</v>
      </c>
      <c r="D78">
        <v>5</v>
      </c>
      <c r="E78">
        <v>400</v>
      </c>
      <c r="F78" s="1" t="s">
        <v>15</v>
      </c>
      <c r="G78">
        <v>-106.96223226300843</v>
      </c>
      <c r="H78">
        <v>11418.05653628206</v>
      </c>
      <c r="I78">
        <v>1057.3239069999988</v>
      </c>
      <c r="J78">
        <v>447.89633419433937</v>
      </c>
      <c r="L78">
        <f t="shared" si="26"/>
        <v>-106.74832065404398</v>
      </c>
      <c r="M78">
        <f t="shared" si="24"/>
        <v>106.74832065404398</v>
      </c>
      <c r="N78">
        <f t="shared" si="25"/>
        <v>22.852573823467537</v>
      </c>
      <c r="O78">
        <f t="shared" si="21"/>
        <v>1.8739311364106514E-2</v>
      </c>
    </row>
    <row r="79" spans="1:15" x14ac:dyDescent="0.25">
      <c r="A79">
        <v>300</v>
      </c>
      <c r="B79">
        <v>0.1</v>
      </c>
      <c r="C79">
        <v>1</v>
      </c>
      <c r="D79">
        <v>5</v>
      </c>
      <c r="E79">
        <v>333</v>
      </c>
      <c r="F79" s="1" t="s">
        <v>15</v>
      </c>
      <c r="G79">
        <v>-106.96971631538077</v>
      </c>
      <c r="H79">
        <v>11419.641584634828</v>
      </c>
      <c r="I79">
        <v>1270.8601779999954</v>
      </c>
      <c r="J79">
        <v>539.24561975490053</v>
      </c>
      <c r="L79">
        <f t="shared" si="26"/>
        <v>-106.75579185085475</v>
      </c>
      <c r="M79">
        <f t="shared" si="24"/>
        <v>106.75579185085475</v>
      </c>
      <c r="N79">
        <f t="shared" si="25"/>
        <v>22.842490931803695</v>
      </c>
      <c r="O79">
        <f t="shared" si="21"/>
        <v>1.8735176878120693E-2</v>
      </c>
    </row>
    <row r="80" spans="1:15" x14ac:dyDescent="0.25">
      <c r="A80">
        <v>350</v>
      </c>
      <c r="B80">
        <v>0.1</v>
      </c>
      <c r="C80">
        <v>1</v>
      </c>
      <c r="D80">
        <v>5</v>
      </c>
      <c r="E80">
        <v>285</v>
      </c>
      <c r="F80" s="1" t="s">
        <v>15</v>
      </c>
      <c r="G80">
        <v>-106.97004673785672</v>
      </c>
      <c r="H80">
        <v>11419.711505486266</v>
      </c>
      <c r="I80">
        <v>1485.4681759999962</v>
      </c>
      <c r="J80">
        <v>631.49224820575785</v>
      </c>
      <c r="L80">
        <f t="shared" si="26"/>
        <v>-106.75610730522595</v>
      </c>
      <c r="M80">
        <f t="shared" si="24"/>
        <v>106.75610730522595</v>
      </c>
      <c r="N80">
        <f t="shared" si="25"/>
        <v>22.845058521348619</v>
      </c>
      <c r="O80">
        <f t="shared" si="21"/>
        <v>1.8736229803843981E-2</v>
      </c>
    </row>
    <row r="81" spans="1:15" x14ac:dyDescent="0.25">
      <c r="A81">
        <v>400</v>
      </c>
      <c r="B81">
        <v>0.1</v>
      </c>
      <c r="C81">
        <v>1</v>
      </c>
      <c r="D81">
        <v>5</v>
      </c>
      <c r="E81">
        <v>250</v>
      </c>
      <c r="F81" s="1" t="s">
        <v>15</v>
      </c>
      <c r="G81">
        <v>-106.97089212914369</v>
      </c>
      <c r="H81">
        <v>11419.891207857883</v>
      </c>
      <c r="I81">
        <v>1701.3196949999963</v>
      </c>
      <c r="J81">
        <v>724.80143678005959</v>
      </c>
      <c r="L81">
        <f t="shared" si="26"/>
        <v>-106.75695203566796</v>
      </c>
      <c r="M81">
        <f t="shared" si="24"/>
        <v>106.75695203566796</v>
      </c>
      <c r="N81">
        <f t="shared" si="25"/>
        <v>22.844399911973596</v>
      </c>
      <c r="O81">
        <f t="shared" si="21"/>
        <v>1.8735959724747252E-2</v>
      </c>
    </row>
    <row r="82" spans="1:15" x14ac:dyDescent="0.25">
      <c r="A82">
        <v>450</v>
      </c>
      <c r="B82">
        <v>0.1</v>
      </c>
      <c r="C82">
        <v>1</v>
      </c>
      <c r="D82">
        <v>5</v>
      </c>
      <c r="E82">
        <v>222</v>
      </c>
      <c r="F82" s="1" t="s">
        <v>15</v>
      </c>
      <c r="G82">
        <v>-106.97397990387044</v>
      </c>
      <c r="H82">
        <v>11420.547003523181</v>
      </c>
      <c r="I82">
        <v>1915.7352749999966</v>
      </c>
      <c r="J82">
        <v>816.8680912630208</v>
      </c>
      <c r="L82">
        <f t="shared" si="26"/>
        <v>-106.76003811961215</v>
      </c>
      <c r="M82">
        <f t="shared" si="24"/>
        <v>106.76003811961215</v>
      </c>
      <c r="N82">
        <f t="shared" si="25"/>
        <v>22.841264222142854</v>
      </c>
      <c r="O82">
        <f t="shared" si="21"/>
        <v>1.8734673804022741E-2</v>
      </c>
    </row>
    <row r="83" spans="1:15" x14ac:dyDescent="0.25">
      <c r="A83">
        <v>500</v>
      </c>
      <c r="B83">
        <v>0.1</v>
      </c>
      <c r="C83">
        <v>1</v>
      </c>
      <c r="D83">
        <v>5</v>
      </c>
      <c r="E83">
        <v>200</v>
      </c>
      <c r="F83" s="1" t="s">
        <v>15</v>
      </c>
      <c r="G83">
        <v>-106.9718154793419</v>
      </c>
      <c r="H83">
        <v>11420.088122687777</v>
      </c>
      <c r="I83">
        <v>2130.9165609999941</v>
      </c>
      <c r="J83">
        <v>909.58239207434826</v>
      </c>
      <c r="L83">
        <f t="shared" si="26"/>
        <v>-106.75786751953414</v>
      </c>
      <c r="M83">
        <f t="shared" si="24"/>
        <v>106.75786751953414</v>
      </c>
      <c r="N83">
        <f t="shared" si="25"/>
        <v>22.84584536937291</v>
      </c>
      <c r="O83">
        <f t="shared" si="21"/>
        <v>1.8736552465273112E-2</v>
      </c>
    </row>
    <row r="84" spans="1:15" x14ac:dyDescent="0.25">
      <c r="M84">
        <f t="shared" si="22"/>
        <v>0</v>
      </c>
      <c r="N84">
        <f t="shared" si="23"/>
        <v>0</v>
      </c>
      <c r="O84">
        <f t="shared" si="21"/>
        <v>0</v>
      </c>
    </row>
    <row r="85" spans="1:15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s="1" t="s">
        <v>5</v>
      </c>
      <c r="G85" t="s">
        <v>6</v>
      </c>
      <c r="H85" t="s">
        <v>7</v>
      </c>
      <c r="I85" t="s">
        <v>8</v>
      </c>
      <c r="J85" t="s">
        <v>9</v>
      </c>
      <c r="M85" t="e">
        <f t="shared" si="22"/>
        <v>#VALUE!</v>
      </c>
      <c r="N85" t="e">
        <f t="shared" si="23"/>
        <v>#VALUE!</v>
      </c>
      <c r="O85" t="e">
        <f t="shared" si="21"/>
        <v>#VALUE!</v>
      </c>
    </row>
    <row r="86" spans="1:15" x14ac:dyDescent="0.25">
      <c r="A86">
        <v>50</v>
      </c>
      <c r="B86">
        <v>0.1</v>
      </c>
      <c r="C86">
        <v>1</v>
      </c>
      <c r="D86">
        <v>5</v>
      </c>
      <c r="E86">
        <v>2000</v>
      </c>
      <c r="F86" s="1" t="s">
        <v>16</v>
      </c>
      <c r="G86">
        <v>-19.999945787869816</v>
      </c>
      <c r="H86">
        <v>399.99783236374435</v>
      </c>
      <c r="I86">
        <v>217.61173300000007</v>
      </c>
      <c r="J86">
        <v>98.833082948516989</v>
      </c>
      <c r="L86">
        <f>G86</f>
        <v>-19.999945787869816</v>
      </c>
      <c r="M86">
        <f>-L86</f>
        <v>19.999945787869816</v>
      </c>
      <c r="N86">
        <f>H86-M86*M86</f>
        <v>8.460127673970419E-7</v>
      </c>
      <c r="O86">
        <f t="shared" si="21"/>
        <v>3.605574931814606E-6</v>
      </c>
    </row>
    <row r="87" spans="1:15" x14ac:dyDescent="0.25">
      <c r="A87">
        <v>100</v>
      </c>
      <c r="B87">
        <v>0.1</v>
      </c>
      <c r="C87">
        <v>1</v>
      </c>
      <c r="D87">
        <v>5</v>
      </c>
      <c r="E87">
        <v>1000</v>
      </c>
      <c r="F87" s="1" t="s">
        <v>16</v>
      </c>
      <c r="G87">
        <v>-20.039999891518075</v>
      </c>
      <c r="H87">
        <v>400.79999566242088</v>
      </c>
      <c r="I87">
        <v>485.6517860000003</v>
      </c>
      <c r="J87">
        <v>246.29463851956811</v>
      </c>
      <c r="L87">
        <f>(G87*500-G86)/500</f>
        <v>-19.999999999942339</v>
      </c>
      <c r="M87">
        <f t="shared" ref="M87:M95" si="27">-L87</f>
        <v>19.999999999942339</v>
      </c>
      <c r="N87">
        <f t="shared" ref="N87:N95" si="28">H87-M87*M87</f>
        <v>0.79999566472730521</v>
      </c>
      <c r="O87">
        <f t="shared" si="21"/>
        <v>3.5061450886216422E-3</v>
      </c>
    </row>
    <row r="88" spans="1:15" x14ac:dyDescent="0.25">
      <c r="A88">
        <v>150</v>
      </c>
      <c r="B88">
        <v>0.1</v>
      </c>
      <c r="C88">
        <v>1</v>
      </c>
      <c r="D88">
        <v>5</v>
      </c>
      <c r="E88">
        <v>666</v>
      </c>
      <c r="F88" s="1" t="s">
        <v>16</v>
      </c>
      <c r="G88">
        <v>-20.040079999783035</v>
      </c>
      <c r="H88">
        <v>400.80159999132485</v>
      </c>
      <c r="I88">
        <v>752.25404500000002</v>
      </c>
      <c r="J88">
        <v>393.03966880122289</v>
      </c>
      <c r="L88">
        <f t="shared" ref="L88:L95" si="29">(G88*500-G87)/500</f>
        <v>-20</v>
      </c>
      <c r="M88">
        <f t="shared" si="27"/>
        <v>20</v>
      </c>
      <c r="N88">
        <f t="shared" si="28"/>
        <v>0.80159999132484927</v>
      </c>
      <c r="O88">
        <f t="shared" si="21"/>
        <v>3.5096589729907038E-3</v>
      </c>
    </row>
    <row r="89" spans="1:15" x14ac:dyDescent="0.25">
      <c r="A89">
        <v>200</v>
      </c>
      <c r="B89">
        <v>0.1</v>
      </c>
      <c r="C89">
        <v>1</v>
      </c>
      <c r="D89">
        <v>5</v>
      </c>
      <c r="E89">
        <v>500</v>
      </c>
      <c r="F89" s="1" t="s">
        <v>16</v>
      </c>
      <c r="G89">
        <v>-20.040080159999569</v>
      </c>
      <c r="H89">
        <v>400.80160319998265</v>
      </c>
      <c r="I89">
        <v>1021.5569609999997</v>
      </c>
      <c r="J89">
        <v>543.00585568715474</v>
      </c>
      <c r="L89">
        <f t="shared" si="29"/>
        <v>-20.000000000000004</v>
      </c>
      <c r="M89">
        <f t="shared" si="27"/>
        <v>20.000000000000004</v>
      </c>
      <c r="N89">
        <f t="shared" si="28"/>
        <v>0.80160319998253726</v>
      </c>
      <c r="O89">
        <f t="shared" si="21"/>
        <v>3.5096659972441335E-3</v>
      </c>
    </row>
    <row r="90" spans="1:15" x14ac:dyDescent="0.25">
      <c r="A90">
        <v>250</v>
      </c>
      <c r="B90">
        <v>0.1</v>
      </c>
      <c r="C90">
        <v>1</v>
      </c>
      <c r="D90">
        <v>5</v>
      </c>
      <c r="E90">
        <v>400</v>
      </c>
      <c r="F90" s="1" t="s">
        <v>16</v>
      </c>
      <c r="G90">
        <v>-20.040080160319636</v>
      </c>
      <c r="H90">
        <v>400.80160320638248</v>
      </c>
      <c r="I90">
        <v>1294.9317759999997</v>
      </c>
      <c r="J90">
        <v>696.44088183606107</v>
      </c>
      <c r="L90">
        <f t="shared" si="29"/>
        <v>-19.999999999999641</v>
      </c>
      <c r="M90">
        <f t="shared" si="27"/>
        <v>19.999999999999641</v>
      </c>
      <c r="N90">
        <f t="shared" si="28"/>
        <v>0.80160320639680549</v>
      </c>
      <c r="O90">
        <f t="shared" si="21"/>
        <v>3.5096660112859559E-3</v>
      </c>
    </row>
    <row r="91" spans="1:15" x14ac:dyDescent="0.25">
      <c r="A91">
        <v>300</v>
      </c>
      <c r="B91">
        <v>0.1</v>
      </c>
      <c r="C91">
        <v>1</v>
      </c>
      <c r="D91">
        <v>5</v>
      </c>
      <c r="E91">
        <v>333</v>
      </c>
      <c r="F91" s="1" t="s">
        <v>16</v>
      </c>
      <c r="G91">
        <v>-20.040080160272616</v>
      </c>
      <c r="H91">
        <v>400.80160320449215</v>
      </c>
      <c r="I91">
        <v>1572.3994819999978</v>
      </c>
      <c r="J91">
        <v>854.80379577546751</v>
      </c>
      <c r="L91">
        <f t="shared" si="29"/>
        <v>-19.999999999951978</v>
      </c>
      <c r="M91">
        <f t="shared" si="27"/>
        <v>19.999999999951978</v>
      </c>
      <c r="N91">
        <f t="shared" si="28"/>
        <v>0.80160320641300586</v>
      </c>
      <c r="O91">
        <f t="shared" si="21"/>
        <v>3.5096660113214211E-3</v>
      </c>
    </row>
    <row r="92" spans="1:15" x14ac:dyDescent="0.25">
      <c r="A92">
        <v>350</v>
      </c>
      <c r="B92">
        <v>0.1</v>
      </c>
      <c r="C92">
        <v>1</v>
      </c>
      <c r="D92">
        <v>5</v>
      </c>
      <c r="E92">
        <v>285</v>
      </c>
      <c r="F92" s="1" t="s">
        <v>16</v>
      </c>
      <c r="G92">
        <v>-20.040080158803189</v>
      </c>
      <c r="H92">
        <v>400.80160314571549</v>
      </c>
      <c r="I92">
        <v>1852.9421119999972</v>
      </c>
      <c r="J92">
        <v>1016.2209656822788</v>
      </c>
      <c r="L92">
        <f t="shared" si="29"/>
        <v>-19.999999998482647</v>
      </c>
      <c r="M92">
        <f t="shared" si="27"/>
        <v>19.999999998482647</v>
      </c>
      <c r="N92">
        <f t="shared" si="28"/>
        <v>0.80160320640959526</v>
      </c>
      <c r="O92">
        <f t="shared" si="21"/>
        <v>3.5096660113139544E-3</v>
      </c>
    </row>
    <row r="93" spans="1:15" x14ac:dyDescent="0.25">
      <c r="A93">
        <v>400</v>
      </c>
      <c r="B93">
        <v>0.1</v>
      </c>
      <c r="C93">
        <v>1</v>
      </c>
      <c r="D93">
        <v>5</v>
      </c>
      <c r="E93">
        <v>250</v>
      </c>
      <c r="F93" s="1" t="s">
        <v>16</v>
      </c>
      <c r="G93">
        <v>-20.040080142779082</v>
      </c>
      <c r="H93">
        <v>400.80160250475126</v>
      </c>
      <c r="I93">
        <v>2135.5421509999978</v>
      </c>
      <c r="J93">
        <v>1179.501686934339</v>
      </c>
      <c r="L93">
        <f t="shared" si="29"/>
        <v>-19.999999982461475</v>
      </c>
      <c r="M93">
        <f t="shared" si="27"/>
        <v>19.999999982461475</v>
      </c>
      <c r="N93">
        <f t="shared" si="28"/>
        <v>0.80160320629227044</v>
      </c>
      <c r="O93">
        <f t="shared" si="21"/>
        <v>3.5096660110571121E-3</v>
      </c>
    </row>
    <row r="94" spans="1:15" x14ac:dyDescent="0.25">
      <c r="A94">
        <v>450</v>
      </c>
      <c r="B94">
        <v>0.1</v>
      </c>
      <c r="C94">
        <v>1</v>
      </c>
      <c r="D94">
        <v>5</v>
      </c>
      <c r="E94">
        <v>222</v>
      </c>
      <c r="F94" s="1" t="s">
        <v>16</v>
      </c>
      <c r="G94">
        <v>-20.040080031367239</v>
      </c>
      <c r="H94">
        <v>400.8015980482765</v>
      </c>
      <c r="I94">
        <v>2419.6303379999995</v>
      </c>
      <c r="J94">
        <v>1344.720829200538</v>
      </c>
      <c r="L94">
        <f t="shared" si="29"/>
        <v>-19.999999871081684</v>
      </c>
      <c r="M94">
        <f t="shared" si="27"/>
        <v>19.999999871081684</v>
      </c>
      <c r="N94">
        <f t="shared" si="28"/>
        <v>0.80160320500914395</v>
      </c>
      <c r="O94">
        <f t="shared" si="21"/>
        <v>3.5096660082481511E-3</v>
      </c>
    </row>
    <row r="95" spans="1:15" x14ac:dyDescent="0.25">
      <c r="A95">
        <v>500</v>
      </c>
      <c r="B95">
        <v>0.1</v>
      </c>
      <c r="C95">
        <v>1</v>
      </c>
      <c r="D95">
        <v>5</v>
      </c>
      <c r="E95">
        <v>200</v>
      </c>
      <c r="F95" s="1" t="s">
        <v>16</v>
      </c>
      <c r="G95">
        <v>-20.040079571409496</v>
      </c>
      <c r="H95">
        <v>400.80157964996738</v>
      </c>
      <c r="I95">
        <v>2696.4389529999971</v>
      </c>
      <c r="J95">
        <v>1501.3660069801499</v>
      </c>
      <c r="L95">
        <f t="shared" si="29"/>
        <v>-19.999999411346764</v>
      </c>
      <c r="M95">
        <f t="shared" si="27"/>
        <v>19.999999411346764</v>
      </c>
      <c r="N95">
        <f t="shared" si="28"/>
        <v>0.80160319609649378</v>
      </c>
      <c r="O95">
        <f t="shared" si="21"/>
        <v>3.509665988736985E-3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2025-03-28T17:04:24Z</dcterms:modified>
</cp:coreProperties>
</file>