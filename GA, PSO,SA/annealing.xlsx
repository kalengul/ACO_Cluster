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5" i="2" l="1"/>
  <c r="N95" i="2" s="1"/>
  <c r="O95" i="2" s="1"/>
  <c r="L94" i="2"/>
  <c r="N94" i="2" s="1"/>
  <c r="O94" i="2" s="1"/>
  <c r="N93" i="2"/>
  <c r="O93" i="2" s="1"/>
  <c r="M93" i="2"/>
  <c r="L93" i="2"/>
  <c r="L92" i="2"/>
  <c r="N92" i="2" s="1"/>
  <c r="O92" i="2" s="1"/>
  <c r="L91" i="2"/>
  <c r="N91" i="2" s="1"/>
  <c r="O91" i="2" s="1"/>
  <c r="N90" i="2"/>
  <c r="O90" i="2" s="1"/>
  <c r="M90" i="2"/>
  <c r="L90" i="2"/>
  <c r="L89" i="2"/>
  <c r="N89" i="2" s="1"/>
  <c r="O89" i="2" s="1"/>
  <c r="L88" i="2"/>
  <c r="N88" i="2" s="1"/>
  <c r="O88" i="2" s="1"/>
  <c r="N87" i="2"/>
  <c r="O87" i="2" s="1"/>
  <c r="M87" i="2"/>
  <c r="L87" i="2"/>
  <c r="L86" i="2"/>
  <c r="N86" i="2" s="1"/>
  <c r="O86" i="2" s="1"/>
  <c r="L83" i="2"/>
  <c r="L82" i="2"/>
  <c r="L81" i="2"/>
  <c r="L80" i="2"/>
  <c r="L79" i="2"/>
  <c r="L78" i="2"/>
  <c r="L77" i="2"/>
  <c r="L76" i="2"/>
  <c r="L75" i="2"/>
  <c r="L74" i="2"/>
  <c r="L71" i="2"/>
  <c r="L70" i="2"/>
  <c r="L69" i="2"/>
  <c r="N69" i="2" s="1"/>
  <c r="O69" i="2" s="1"/>
  <c r="L68" i="2"/>
  <c r="N68" i="2" s="1"/>
  <c r="O68" i="2" s="1"/>
  <c r="L67" i="2"/>
  <c r="N67" i="2" s="1"/>
  <c r="O67" i="2" s="1"/>
  <c r="L66" i="2"/>
  <c r="M66" i="2" s="1"/>
  <c r="L65" i="2"/>
  <c r="N65" i="2" s="1"/>
  <c r="O65" i="2" s="1"/>
  <c r="L64" i="2"/>
  <c r="M64" i="2" s="1"/>
  <c r="L63" i="2"/>
  <c r="N63" i="2" s="1"/>
  <c r="O63" i="2" s="1"/>
  <c r="L62" i="2"/>
  <c r="N62" i="2" s="1"/>
  <c r="O62" i="2" s="1"/>
  <c r="L59" i="2"/>
  <c r="L58" i="2"/>
  <c r="L57" i="2"/>
  <c r="M57" i="2" s="1"/>
  <c r="L56" i="2"/>
  <c r="M56" i="2" s="1"/>
  <c r="L55" i="2"/>
  <c r="L54" i="2"/>
  <c r="L53" i="2"/>
  <c r="N53" i="2" s="1"/>
  <c r="O53" i="2" s="1"/>
  <c r="L52" i="2"/>
  <c r="N52" i="2" s="1"/>
  <c r="O52" i="2" s="1"/>
  <c r="L51" i="2"/>
  <c r="N51" i="2" s="1"/>
  <c r="O51" i="2" s="1"/>
  <c r="L50" i="2"/>
  <c r="N50" i="2" s="1"/>
  <c r="O50" i="2" s="1"/>
  <c r="L47" i="2"/>
  <c r="L46" i="2"/>
  <c r="L45" i="2"/>
  <c r="L44" i="2"/>
  <c r="L43" i="2"/>
  <c r="L42" i="2"/>
  <c r="L41" i="2"/>
  <c r="M41" i="2" s="1"/>
  <c r="L40" i="2"/>
  <c r="M40" i="2" s="1"/>
  <c r="L39" i="2"/>
  <c r="M39" i="2" s="1"/>
  <c r="L38" i="2"/>
  <c r="M38" i="2" s="1"/>
  <c r="L35" i="2"/>
  <c r="L34" i="2"/>
  <c r="L33" i="2"/>
  <c r="N33" i="2" s="1"/>
  <c r="O33" i="2" s="1"/>
  <c r="L32" i="2"/>
  <c r="N32" i="2" s="1"/>
  <c r="O32" i="2" s="1"/>
  <c r="L31" i="2"/>
  <c r="N31" i="2" s="1"/>
  <c r="O31" i="2" s="1"/>
  <c r="L30" i="2"/>
  <c r="M30" i="2" s="1"/>
  <c r="L29" i="2"/>
  <c r="N29" i="2" s="1"/>
  <c r="O29" i="2" s="1"/>
  <c r="L28" i="2"/>
  <c r="M28" i="2" s="1"/>
  <c r="L27" i="2"/>
  <c r="N27" i="2" s="1"/>
  <c r="O27" i="2" s="1"/>
  <c r="L26" i="2"/>
  <c r="N26" i="2" s="1"/>
  <c r="O26" i="2" s="1"/>
  <c r="L3" i="2"/>
  <c r="M3" i="2" s="1"/>
  <c r="L4" i="2"/>
  <c r="M4" i="2" s="1"/>
  <c r="L5" i="2"/>
  <c r="M5" i="2" s="1"/>
  <c r="L6" i="2"/>
  <c r="M6" i="2" s="1"/>
  <c r="L7" i="2"/>
  <c r="N7" i="2" s="1"/>
  <c r="O7" i="2" s="1"/>
  <c r="L8" i="2"/>
  <c r="N8" i="2" s="1"/>
  <c r="O8" i="2" s="1"/>
  <c r="L9" i="2"/>
  <c r="N9" i="2" s="1"/>
  <c r="O9" i="2" s="1"/>
  <c r="L10" i="2"/>
  <c r="N10" i="2" s="1"/>
  <c r="O10" i="2" s="1"/>
  <c r="L11" i="2"/>
  <c r="M11" i="2" s="1"/>
  <c r="L2" i="2"/>
  <c r="N2" i="2" s="1"/>
  <c r="O2" i="2" s="1"/>
  <c r="M2" i="2"/>
  <c r="M26" i="2"/>
  <c r="M27" i="2"/>
  <c r="M32" i="2"/>
  <c r="M33" i="2"/>
  <c r="M34" i="2"/>
  <c r="M35" i="2"/>
  <c r="M42" i="2"/>
  <c r="M43" i="2"/>
  <c r="M44" i="2"/>
  <c r="M45" i="2"/>
  <c r="M46" i="2"/>
  <c r="M47" i="2"/>
  <c r="M52" i="2"/>
  <c r="M53" i="2"/>
  <c r="M54" i="2"/>
  <c r="M55" i="2"/>
  <c r="M58" i="2"/>
  <c r="M59" i="2"/>
  <c r="M62" i="2"/>
  <c r="M63" i="2"/>
  <c r="M68" i="2"/>
  <c r="M69" i="2"/>
  <c r="M70" i="2"/>
  <c r="M71" i="2"/>
  <c r="N3" i="2"/>
  <c r="O3" i="2" s="1"/>
  <c r="N84" i="2"/>
  <c r="O84" i="2" s="1"/>
  <c r="M84" i="2"/>
  <c r="N83" i="2"/>
  <c r="O83" i="2" s="1"/>
  <c r="M83" i="2"/>
  <c r="N82" i="2"/>
  <c r="O82" i="2" s="1"/>
  <c r="M82" i="2"/>
  <c r="N81" i="2"/>
  <c r="O81" i="2" s="1"/>
  <c r="M81" i="2"/>
  <c r="N80" i="2"/>
  <c r="O80" i="2" s="1"/>
  <c r="M80" i="2"/>
  <c r="N79" i="2"/>
  <c r="O79" i="2" s="1"/>
  <c r="M79" i="2"/>
  <c r="N78" i="2"/>
  <c r="O78" i="2" s="1"/>
  <c r="M78" i="2"/>
  <c r="N77" i="2"/>
  <c r="O77" i="2" s="1"/>
  <c r="M77" i="2"/>
  <c r="N76" i="2"/>
  <c r="O76" i="2" s="1"/>
  <c r="M76" i="2"/>
  <c r="N75" i="2"/>
  <c r="O75" i="2" s="1"/>
  <c r="M75" i="2"/>
  <c r="N74" i="2"/>
  <c r="O74" i="2" s="1"/>
  <c r="M74" i="2"/>
  <c r="N73" i="2"/>
  <c r="O73" i="2" s="1"/>
  <c r="M73" i="2"/>
  <c r="N72" i="2"/>
  <c r="O72" i="2" s="1"/>
  <c r="M72" i="2"/>
  <c r="N71" i="2"/>
  <c r="O71" i="2" s="1"/>
  <c r="N70" i="2"/>
  <c r="O70" i="2" s="1"/>
  <c r="N61" i="2"/>
  <c r="O61" i="2" s="1"/>
  <c r="M61" i="2"/>
  <c r="N60" i="2"/>
  <c r="O60" i="2" s="1"/>
  <c r="M60" i="2"/>
  <c r="N59" i="2"/>
  <c r="O59" i="2" s="1"/>
  <c r="N58" i="2"/>
  <c r="O58" i="2" s="1"/>
  <c r="N57" i="2"/>
  <c r="O57" i="2" s="1"/>
  <c r="N56" i="2"/>
  <c r="O56" i="2" s="1"/>
  <c r="N55" i="2"/>
  <c r="O55" i="2" s="1"/>
  <c r="N54" i="2"/>
  <c r="O54" i="2" s="1"/>
  <c r="N49" i="2"/>
  <c r="O49" i="2" s="1"/>
  <c r="M49" i="2"/>
  <c r="N48" i="2"/>
  <c r="O48" i="2" s="1"/>
  <c r="M48" i="2"/>
  <c r="N47" i="2"/>
  <c r="O47" i="2" s="1"/>
  <c r="N46" i="2"/>
  <c r="O46" i="2" s="1"/>
  <c r="N45" i="2"/>
  <c r="O45" i="2" s="1"/>
  <c r="N44" i="2"/>
  <c r="O44" i="2" s="1"/>
  <c r="N43" i="2"/>
  <c r="O43" i="2" s="1"/>
  <c r="N42" i="2"/>
  <c r="O42" i="2" s="1"/>
  <c r="N41" i="2"/>
  <c r="O41" i="2" s="1"/>
  <c r="N40" i="2"/>
  <c r="O40" i="2" s="1"/>
  <c r="N39" i="2"/>
  <c r="O39" i="2" s="1"/>
  <c r="N38" i="2"/>
  <c r="O38" i="2" s="1"/>
  <c r="N37" i="2"/>
  <c r="O37" i="2" s="1"/>
  <c r="M37" i="2"/>
  <c r="N36" i="2"/>
  <c r="O36" i="2" s="1"/>
  <c r="M36" i="2"/>
  <c r="N35" i="2"/>
  <c r="O35" i="2" s="1"/>
  <c r="N34" i="2"/>
  <c r="O34" i="2" s="1"/>
  <c r="N25" i="2"/>
  <c r="O25" i="2" s="1"/>
  <c r="M25" i="2"/>
  <c r="N24" i="2"/>
  <c r="O24" i="2" s="1"/>
  <c r="M24" i="2"/>
  <c r="N23" i="2"/>
  <c r="O23" i="2" s="1"/>
  <c r="M23" i="2"/>
  <c r="N22" i="2"/>
  <c r="O22" i="2" s="1"/>
  <c r="M22" i="2"/>
  <c r="N21" i="2"/>
  <c r="O21" i="2" s="1"/>
  <c r="M21" i="2"/>
  <c r="N20" i="2"/>
  <c r="O20" i="2" s="1"/>
  <c r="M20" i="2"/>
  <c r="N19" i="2"/>
  <c r="O19" i="2" s="1"/>
  <c r="M19" i="2"/>
  <c r="N18" i="2"/>
  <c r="O18" i="2" s="1"/>
  <c r="M18" i="2"/>
  <c r="N17" i="2"/>
  <c r="O17" i="2" s="1"/>
  <c r="M17" i="2"/>
  <c r="N16" i="2"/>
  <c r="O16" i="2" s="1"/>
  <c r="M16" i="2"/>
  <c r="N15" i="2"/>
  <c r="O15" i="2" s="1"/>
  <c r="M15" i="2"/>
  <c r="N14" i="2"/>
  <c r="O14" i="2" s="1"/>
  <c r="M14" i="2"/>
  <c r="N13" i="2"/>
  <c r="O13" i="2" s="1"/>
  <c r="M13" i="2"/>
  <c r="N12" i="2"/>
  <c r="O12" i="2" s="1"/>
  <c r="M12" i="2"/>
  <c r="N11" i="2"/>
  <c r="O11" i="2" s="1"/>
  <c r="N5" i="2"/>
  <c r="O5" i="2" s="1"/>
  <c r="N6" i="2" l="1"/>
  <c r="O6" i="2" s="1"/>
  <c r="N4" i="2"/>
  <c r="O4" i="2" s="1"/>
  <c r="M88" i="2"/>
  <c r="M91" i="2"/>
  <c r="M94" i="2"/>
  <c r="M86" i="2"/>
  <c r="M89" i="2"/>
  <c r="M92" i="2"/>
  <c r="M95" i="2"/>
  <c r="N64" i="2"/>
  <c r="O64" i="2" s="1"/>
  <c r="N66" i="2"/>
  <c r="O66" i="2" s="1"/>
  <c r="M67" i="2"/>
  <c r="M65" i="2"/>
  <c r="M51" i="2"/>
  <c r="M50" i="2"/>
  <c r="N28" i="2"/>
  <c r="O28" i="2" s="1"/>
  <c r="M31" i="2"/>
  <c r="M29" i="2"/>
  <c r="N30" i="2"/>
  <c r="O30" i="2" s="1"/>
  <c r="M10" i="2"/>
  <c r="M9" i="2"/>
  <c r="M8" i="2"/>
  <c r="M7" i="2"/>
  <c r="L23" i="2"/>
  <c r="L22" i="2"/>
  <c r="L21" i="2"/>
  <c r="L20" i="2"/>
  <c r="L19" i="2"/>
  <c r="L18" i="2"/>
  <c r="L17" i="2"/>
  <c r="L16" i="2"/>
  <c r="L15" i="2"/>
  <c r="L14" i="2"/>
</calcChain>
</file>

<file path=xl/sharedStrings.xml><?xml version="1.0" encoding="utf-8"?>
<sst xmlns="http://schemas.openxmlformats.org/spreadsheetml/2006/main" count="190" uniqueCount="20">
  <si>
    <t>numberOfIndividums</t>
  </si>
  <si>
    <t>T_max</t>
  </si>
  <si>
    <t>T_min</t>
  </si>
  <si>
    <t>alpha</t>
  </si>
  <si>
    <t>numberLives</t>
  </si>
  <si>
    <t>textFunction</t>
  </si>
  <si>
    <t>mBest</t>
  </si>
  <si>
    <t>laBest</t>
  </si>
  <si>
    <t>mTime</t>
  </si>
  <si>
    <t>laTime</t>
  </si>
  <si>
    <t>BenchRastriginFunctionx10</t>
  </si>
  <si>
    <t>BenchRozenbrokx10</t>
  </si>
  <si>
    <t>BenchMultiFunctionx10</t>
  </si>
  <si>
    <t>BenchShafferaFunctionx10</t>
  </si>
  <si>
    <t>BenchKornFunctionx10</t>
  </si>
  <si>
    <t>BenchBirdFunctionx10</t>
  </si>
  <si>
    <t>BenchEkliFunctionx10</t>
  </si>
  <si>
    <t>M</t>
  </si>
  <si>
    <t>D</t>
  </si>
  <si>
    <t>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</si>
</sst>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J7" sqref="A4:J7"/>
    </sheetView>
  </sheetViews>
  <sheetFormatPr defaultRowHeight="15" x14ac:dyDescent="0.25"/>
  <cols>
    <col min="1" max="1" width="20.28515625" bestFit="1" customWidth="1"/>
    <col min="2" max="2" width="6.7109375" bestFit="1" customWidth="1"/>
    <col min="3" max="3" width="11" bestFit="1" customWidth="1"/>
    <col min="4" max="4" width="5.85546875" bestFit="1" customWidth="1"/>
    <col min="5" max="5" width="12.42578125" bestFit="1" customWidth="1"/>
    <col min="6" max="6" width="25.28515625" bestFit="1" customWidth="1"/>
    <col min="7" max="8" width="12" bestFit="1" customWidth="1"/>
    <col min="9" max="9" width="10" bestFit="1" customWidth="1"/>
    <col min="10" max="10" width="12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100000</v>
      </c>
      <c r="B2" s="1">
        <v>1000</v>
      </c>
      <c r="C2" s="1">
        <v>1E-8</v>
      </c>
      <c r="D2" s="1">
        <v>0.99</v>
      </c>
      <c r="E2" s="1">
        <v>2000</v>
      </c>
      <c r="F2" s="1" t="s">
        <v>13</v>
      </c>
      <c r="G2" s="1">
        <v>-0.99298158802696646</v>
      </c>
      <c r="H2" s="1">
        <v>0.98603519424342756</v>
      </c>
      <c r="I2" s="1">
        <v>13.638638999999998</v>
      </c>
      <c r="J2" s="1">
        <v>0.3796371405150003</v>
      </c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</row>
    <row r="5" spans="1:10" s="1" customFormat="1" x14ac:dyDescent="0.25">
      <c r="A5" s="1">
        <v>100000</v>
      </c>
      <c r="B5" s="1">
        <v>1000</v>
      </c>
      <c r="C5" s="1">
        <v>1E-8</v>
      </c>
      <c r="D5" s="1">
        <v>0.99</v>
      </c>
      <c r="E5" s="1">
        <v>2000</v>
      </c>
      <c r="F5" s="1" t="s">
        <v>10</v>
      </c>
      <c r="G5" s="1">
        <v>0.17005509878476388</v>
      </c>
      <c r="H5" s="1">
        <v>6.9555314897194423E-2</v>
      </c>
      <c r="I5" s="1">
        <v>14.238530999999993</v>
      </c>
      <c r="J5" s="1">
        <v>0.42897275229099963</v>
      </c>
    </row>
    <row r="6" spans="1:10" x14ac:dyDescent="0.25">
      <c r="A6" s="1">
        <v>100000</v>
      </c>
      <c r="B6" s="1">
        <v>1000</v>
      </c>
      <c r="C6" s="1">
        <v>1E-8</v>
      </c>
      <c r="D6" s="1">
        <v>0.99</v>
      </c>
      <c r="E6" s="1">
        <v>2000</v>
      </c>
      <c r="F6" s="1" t="s">
        <v>11</v>
      </c>
      <c r="G6" s="1">
        <v>4.7007370376040539E-2</v>
      </c>
      <c r="H6" s="1">
        <v>7.5037077115058234E-2</v>
      </c>
      <c r="I6" s="1">
        <v>14.127519999999986</v>
      </c>
      <c r="J6" s="1">
        <v>0.40573154289200009</v>
      </c>
    </row>
    <row r="7" spans="1:10" x14ac:dyDescent="0.25">
      <c r="A7" s="1">
        <v>100000</v>
      </c>
      <c r="B7" s="1">
        <v>1000</v>
      </c>
      <c r="C7" s="1">
        <v>1E-8</v>
      </c>
      <c r="D7" s="1">
        <v>0.99</v>
      </c>
      <c r="E7" s="1">
        <v>2000</v>
      </c>
      <c r="F7" s="1" t="s">
        <v>12</v>
      </c>
      <c r="G7" s="1">
        <v>-17.795464947071594</v>
      </c>
      <c r="H7" s="1">
        <v>318.38159205313212</v>
      </c>
      <c r="I7" s="1">
        <v>14.143043999999996</v>
      </c>
      <c r="J7" s="1">
        <v>0.40591866133199972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5"/>
  <sheetViews>
    <sheetView tabSelected="1" topLeftCell="A67" workbookViewId="0">
      <selection activeCell="A85" sqref="A85:O95"/>
    </sheetView>
  </sheetViews>
  <sheetFormatPr defaultRowHeight="15" x14ac:dyDescent="0.25"/>
  <cols>
    <col min="1" max="1" width="20.28515625" bestFit="1" customWidth="1"/>
    <col min="2" max="2" width="6.7109375" bestFit="1" customWidth="1"/>
    <col min="3" max="3" width="11" bestFit="1" customWidth="1"/>
    <col min="4" max="4" width="5.85546875" bestFit="1" customWidth="1"/>
    <col min="5" max="5" width="12.42578125" bestFit="1" customWidth="1"/>
    <col min="6" max="6" width="25.28515625" bestFit="1" customWidth="1"/>
    <col min="7" max="7" width="12.7109375" bestFit="1" customWidth="1"/>
    <col min="8" max="8" width="12" bestFit="1" customWidth="1"/>
    <col min="9" max="9" width="10" bestFit="1" customWidth="1"/>
    <col min="10" max="10" width="12" bestFit="1" customWidth="1"/>
    <col min="12" max="12" width="12" bestFit="1" customWidth="1"/>
    <col min="14" max="14" width="12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t="s">
        <v>17</v>
      </c>
      <c r="N1" t="s">
        <v>18</v>
      </c>
      <c r="O1" t="s">
        <v>19</v>
      </c>
      <c r="P1">
        <v>1.96</v>
      </c>
      <c r="Q1">
        <v>500</v>
      </c>
    </row>
    <row r="2" spans="1:17" x14ac:dyDescent="0.25">
      <c r="A2" s="1">
        <v>50</v>
      </c>
      <c r="B2" s="1">
        <v>1000</v>
      </c>
      <c r="C2" s="1">
        <v>1E-8</v>
      </c>
      <c r="D2" s="1">
        <v>0.99</v>
      </c>
      <c r="E2" s="1">
        <v>2000</v>
      </c>
      <c r="F2" s="1" t="s">
        <v>11</v>
      </c>
      <c r="G2" s="1">
        <v>2.1106582489030607E-4</v>
      </c>
      <c r="H2" s="1">
        <v>8.8460756943953503E-8</v>
      </c>
      <c r="I2" s="1">
        <v>141.62001899999998</v>
      </c>
      <c r="J2" s="1">
        <v>242.799813203681</v>
      </c>
      <c r="L2">
        <f>G2</f>
        <v>2.1106582489030607E-4</v>
      </c>
      <c r="M2">
        <f>-L2</f>
        <v>-2.1106582489030607E-4</v>
      </c>
      <c r="N2">
        <f>H2-L2*L2</f>
        <v>4.3911974507328155E-8</v>
      </c>
      <c r="O2">
        <f>$P$1*SQRT(N2)/$Q$1</f>
        <v>8.2144322084329558E-7</v>
      </c>
    </row>
    <row r="3" spans="1:17" x14ac:dyDescent="0.25">
      <c r="A3" s="1">
        <v>100</v>
      </c>
      <c r="B3" s="1">
        <v>1000</v>
      </c>
      <c r="C3" s="1">
        <v>1E-8</v>
      </c>
      <c r="D3" s="1">
        <v>0.99</v>
      </c>
      <c r="E3" s="1">
        <v>1000</v>
      </c>
      <c r="F3" s="1" t="s">
        <v>11</v>
      </c>
      <c r="G3" s="1">
        <v>4.309986237240116E-4</v>
      </c>
      <c r="H3" s="1">
        <v>3.3449297995234755E-7</v>
      </c>
      <c r="I3" s="1">
        <v>152.20750800000005</v>
      </c>
      <c r="J3" s="1">
        <v>280.32160532186595</v>
      </c>
      <c r="L3">
        <f t="shared" ref="L3:L11" si="0">G3</f>
        <v>4.309986237240116E-4</v>
      </c>
      <c r="M3">
        <f t="shared" ref="M3:M11" si="1">-L3</f>
        <v>-4.309986237240116E-4</v>
      </c>
      <c r="N3">
        <f t="shared" ref="N3:N11" si="2">H3-L3*L3</f>
        <v>1.487331663003554E-7</v>
      </c>
      <c r="O3">
        <f t="shared" ref="O3:O66" si="3">$P$1*SQRT(N3)/$Q$1</f>
        <v>1.5117848149249882E-6</v>
      </c>
    </row>
    <row r="4" spans="1:17" x14ac:dyDescent="0.25">
      <c r="A4" s="1">
        <v>150</v>
      </c>
      <c r="B4" s="1">
        <v>1000</v>
      </c>
      <c r="C4" s="1">
        <v>1E-8</v>
      </c>
      <c r="D4" s="1">
        <v>0.99</v>
      </c>
      <c r="E4" s="1">
        <v>666</v>
      </c>
      <c r="F4" s="1" t="s">
        <v>11</v>
      </c>
      <c r="G4" s="1">
        <v>6.2574884075777782E-4</v>
      </c>
      <c r="H4" s="1">
        <v>7.0679446371516292E-7</v>
      </c>
      <c r="I4" s="1">
        <v>82.333052999999978</v>
      </c>
      <c r="J4" s="1">
        <v>67.792055536403012</v>
      </c>
      <c r="L4">
        <f t="shared" si="0"/>
        <v>6.2574884075777782E-4</v>
      </c>
      <c r="M4">
        <f t="shared" si="1"/>
        <v>-6.2574884075777782E-4</v>
      </c>
      <c r="N4">
        <f t="shared" si="2"/>
        <v>3.1523285200546015E-7</v>
      </c>
      <c r="O4">
        <f t="shared" si="3"/>
        <v>2.2009075621335624E-6</v>
      </c>
    </row>
    <row r="5" spans="1:17" x14ac:dyDescent="0.25">
      <c r="A5">
        <v>200</v>
      </c>
      <c r="B5">
        <v>1000</v>
      </c>
      <c r="C5">
        <v>1E-8</v>
      </c>
      <c r="D5">
        <v>0.99</v>
      </c>
      <c r="E5">
        <v>500</v>
      </c>
      <c r="F5" t="s">
        <v>11</v>
      </c>
      <c r="G5">
        <v>6.8201793103316944E-4</v>
      </c>
      <c r="H5">
        <v>9.0374230199132655E-7</v>
      </c>
      <c r="I5">
        <v>81.945720999999963</v>
      </c>
      <c r="J5">
        <v>67.155981712452999</v>
      </c>
      <c r="L5">
        <f t="shared" si="0"/>
        <v>6.8201793103316944E-4</v>
      </c>
      <c r="M5">
        <f t="shared" si="1"/>
        <v>-6.8201793103316944E-4</v>
      </c>
      <c r="N5">
        <f t="shared" si="2"/>
        <v>4.3859384374056146E-7</v>
      </c>
      <c r="O5">
        <f t="shared" si="3"/>
        <v>2.5960755845034569E-6</v>
      </c>
    </row>
    <row r="6" spans="1:17" x14ac:dyDescent="0.25">
      <c r="A6">
        <v>250</v>
      </c>
      <c r="B6">
        <v>1000</v>
      </c>
      <c r="C6">
        <v>1E-8</v>
      </c>
      <c r="D6">
        <v>0.99</v>
      </c>
      <c r="E6">
        <v>400</v>
      </c>
      <c r="F6" t="s">
        <v>11</v>
      </c>
      <c r="G6">
        <v>8.4972860486692175E-4</v>
      </c>
      <c r="H6">
        <v>1.4422390951068993E-6</v>
      </c>
      <c r="I6">
        <v>81.923972000000006</v>
      </c>
      <c r="J6">
        <v>67.126344433661998</v>
      </c>
      <c r="L6">
        <f t="shared" si="0"/>
        <v>8.4972860486692175E-4</v>
      </c>
      <c r="M6">
        <f t="shared" si="1"/>
        <v>-8.4972860486692175E-4</v>
      </c>
      <c r="N6">
        <f t="shared" si="2"/>
        <v>7.2020039317781408E-7</v>
      </c>
      <c r="O6">
        <f t="shared" si="3"/>
        <v>3.3266931511228326E-6</v>
      </c>
    </row>
    <row r="7" spans="1:17" x14ac:dyDescent="0.25">
      <c r="A7">
        <v>300</v>
      </c>
      <c r="B7">
        <v>1000</v>
      </c>
      <c r="C7">
        <v>1E-8</v>
      </c>
      <c r="D7">
        <v>0.99</v>
      </c>
      <c r="E7">
        <v>333</v>
      </c>
      <c r="F7" t="s">
        <v>11</v>
      </c>
      <c r="G7">
        <v>8.5669758117436505E-4</v>
      </c>
      <c r="H7">
        <v>1.3614291580257766E-6</v>
      </c>
      <c r="I7">
        <v>81.582339000000047</v>
      </c>
      <c r="J7">
        <v>66.572427007694998</v>
      </c>
      <c r="L7">
        <f t="shared" si="0"/>
        <v>8.5669758117436505E-4</v>
      </c>
      <c r="M7">
        <f t="shared" si="1"/>
        <v>-8.5669758117436505E-4</v>
      </c>
      <c r="N7">
        <f t="shared" si="2"/>
        <v>6.2749841243576879E-7</v>
      </c>
      <c r="O7">
        <f t="shared" si="3"/>
        <v>3.1052200573957712E-6</v>
      </c>
    </row>
    <row r="8" spans="1:17" x14ac:dyDescent="0.25">
      <c r="A8">
        <v>350</v>
      </c>
      <c r="B8">
        <v>1000</v>
      </c>
      <c r="C8">
        <v>1E-8</v>
      </c>
      <c r="D8">
        <v>0.99</v>
      </c>
      <c r="E8">
        <v>285</v>
      </c>
      <c r="F8" t="s">
        <v>11</v>
      </c>
      <c r="G8">
        <v>9.9658245447926735E-4</v>
      </c>
      <c r="H8">
        <v>1.797880831388181E-6</v>
      </c>
      <c r="I8">
        <v>81.183690999999982</v>
      </c>
      <c r="J8">
        <v>65.911670084352991</v>
      </c>
      <c r="L8">
        <f t="shared" si="0"/>
        <v>9.9658245447926735E-4</v>
      </c>
      <c r="M8">
        <f t="shared" si="1"/>
        <v>-9.9658245447926735E-4</v>
      </c>
      <c r="N8">
        <f t="shared" si="2"/>
        <v>8.0470424281225995E-7</v>
      </c>
      <c r="O8">
        <f t="shared" si="3"/>
        <v>3.5164481052263961E-6</v>
      </c>
    </row>
    <row r="9" spans="1:17" x14ac:dyDescent="0.25">
      <c r="A9">
        <v>400</v>
      </c>
      <c r="B9">
        <v>1000</v>
      </c>
      <c r="C9">
        <v>1E-8</v>
      </c>
      <c r="D9">
        <v>0.99</v>
      </c>
      <c r="E9">
        <v>250</v>
      </c>
      <c r="F9" t="s">
        <v>11</v>
      </c>
      <c r="G9">
        <v>1.2359976181695149E-3</v>
      </c>
      <c r="H9">
        <v>4.0645344959313941E-6</v>
      </c>
      <c r="I9">
        <v>80.929660000000013</v>
      </c>
      <c r="J9">
        <v>65.499919593078005</v>
      </c>
      <c r="L9">
        <f t="shared" si="0"/>
        <v>1.2359976181695149E-3</v>
      </c>
      <c r="M9">
        <f t="shared" si="1"/>
        <v>-1.2359976181695149E-3</v>
      </c>
      <c r="N9">
        <f t="shared" si="2"/>
        <v>2.5368443838106802E-6</v>
      </c>
      <c r="O9">
        <f t="shared" si="3"/>
        <v>6.2435699354927095E-6</v>
      </c>
    </row>
    <row r="10" spans="1:17" x14ac:dyDescent="0.25">
      <c r="A10">
        <v>450</v>
      </c>
      <c r="B10">
        <v>1000</v>
      </c>
      <c r="C10">
        <v>1E-8</v>
      </c>
      <c r="D10">
        <v>0.99</v>
      </c>
      <c r="E10">
        <v>222</v>
      </c>
      <c r="F10" t="s">
        <v>11</v>
      </c>
      <c r="G10">
        <v>9.3777304166196428E-4</v>
      </c>
      <c r="H10">
        <v>1.3682434702470586E-6</v>
      </c>
      <c r="I10">
        <v>81.109756000000019</v>
      </c>
      <c r="J10">
        <v>65.791463758385987</v>
      </c>
      <c r="L10">
        <f t="shared" si="0"/>
        <v>9.3777304166196428E-4</v>
      </c>
      <c r="M10">
        <f t="shared" si="1"/>
        <v>-9.3777304166196428E-4</v>
      </c>
      <c r="N10">
        <f t="shared" si="2"/>
        <v>4.8882519257912637E-7</v>
      </c>
      <c r="O10">
        <f t="shared" si="3"/>
        <v>2.7407085651794294E-6</v>
      </c>
    </row>
    <row r="11" spans="1:17" x14ac:dyDescent="0.25">
      <c r="A11">
        <v>500</v>
      </c>
      <c r="B11">
        <v>1000</v>
      </c>
      <c r="C11">
        <v>1E-8</v>
      </c>
      <c r="D11">
        <v>0.99</v>
      </c>
      <c r="E11">
        <v>200</v>
      </c>
      <c r="F11" t="s">
        <v>11</v>
      </c>
      <c r="G11">
        <v>1.0753664279274577E-3</v>
      </c>
      <c r="H11">
        <v>2.175214564766754E-6</v>
      </c>
      <c r="I11">
        <v>80.652500000000018</v>
      </c>
      <c r="J11">
        <v>65.051896594836009</v>
      </c>
      <c r="L11">
        <f t="shared" si="0"/>
        <v>1.0753664279274577E-3</v>
      </c>
      <c r="M11">
        <f t="shared" si="1"/>
        <v>-1.0753664279274577E-3</v>
      </c>
      <c r="N11">
        <f t="shared" si="2"/>
        <v>1.0188016104532939E-6</v>
      </c>
      <c r="O11">
        <f t="shared" si="3"/>
        <v>3.9566795506926632E-6</v>
      </c>
    </row>
    <row r="12" spans="1:17" x14ac:dyDescent="0.25">
      <c r="M12">
        <f t="shared" ref="M12:M61" si="4">-G12</f>
        <v>0</v>
      </c>
      <c r="N12">
        <f t="shared" ref="N12:N61" si="5">H12-G12*G12</f>
        <v>0</v>
      </c>
      <c r="O12">
        <f t="shared" si="3"/>
        <v>0</v>
      </c>
    </row>
    <row r="13" spans="1:17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t="s">
        <v>9</v>
      </c>
      <c r="M13" t="e">
        <f t="shared" si="4"/>
        <v>#VALUE!</v>
      </c>
      <c r="N13" t="e">
        <f t="shared" si="5"/>
        <v>#VALUE!</v>
      </c>
      <c r="O13" t="e">
        <f t="shared" si="3"/>
        <v>#VALUE!</v>
      </c>
    </row>
    <row r="14" spans="1:17" x14ac:dyDescent="0.25">
      <c r="A14" s="1">
        <v>50</v>
      </c>
      <c r="B14" s="1">
        <v>1000</v>
      </c>
      <c r="C14" s="1">
        <v>1E-8</v>
      </c>
      <c r="D14" s="1">
        <v>0.99</v>
      </c>
      <c r="E14" s="1">
        <v>2000</v>
      </c>
      <c r="F14" s="1" t="s">
        <v>10</v>
      </c>
      <c r="G14" s="1">
        <v>4.5083776712600493E-3</v>
      </c>
      <c r="H14" s="1">
        <v>3.9991385524462083E-5</v>
      </c>
      <c r="I14" s="1">
        <v>992.36434599999961</v>
      </c>
      <c r="J14" s="1">
        <v>2059.2141395473823</v>
      </c>
      <c r="L14">
        <f>G14</f>
        <v>4.5083776712600493E-3</v>
      </c>
      <c r="M14">
        <f>-L14</f>
        <v>-4.5083776712600493E-3</v>
      </c>
      <c r="N14">
        <f>H14-L14*L14</f>
        <v>1.9665916297745899E-5</v>
      </c>
      <c r="O14">
        <f t="shared" si="3"/>
        <v>1.7383737693536522E-5</v>
      </c>
    </row>
    <row r="15" spans="1:17" x14ac:dyDescent="0.25">
      <c r="A15" s="1">
        <v>100</v>
      </c>
      <c r="B15" s="1">
        <v>1000</v>
      </c>
      <c r="C15" s="1">
        <v>1E-8</v>
      </c>
      <c r="D15" s="1">
        <v>0.99</v>
      </c>
      <c r="E15" s="1">
        <v>1000</v>
      </c>
      <c r="F15" s="1" t="s">
        <v>10</v>
      </c>
      <c r="G15" s="1">
        <v>1.0210856232700691E-2</v>
      </c>
      <c r="H15" s="1">
        <v>2.1013242039785599E-4</v>
      </c>
      <c r="I15" s="1">
        <v>1762.804327999999</v>
      </c>
      <c r="J15" s="1">
        <v>3399.4391849020212</v>
      </c>
      <c r="L15">
        <f>(G15*500-G14)/500</f>
        <v>1.0201839477358171E-2</v>
      </c>
      <c r="M15">
        <f t="shared" ref="M15:M23" si="6">-L15</f>
        <v>-1.0201839477358171E-2</v>
      </c>
      <c r="N15">
        <f t="shared" ref="N15:N23" si="7">H15-L15*L15</f>
        <v>1.0605489167607235E-4</v>
      </c>
      <c r="O15">
        <f t="shared" si="3"/>
        <v>4.0369318639917592E-5</v>
      </c>
    </row>
    <row r="16" spans="1:17" x14ac:dyDescent="0.25">
      <c r="A16" s="1">
        <v>150</v>
      </c>
      <c r="B16" s="1">
        <v>1000</v>
      </c>
      <c r="C16" s="1">
        <v>1E-8</v>
      </c>
      <c r="D16" s="1">
        <v>0.99</v>
      </c>
      <c r="E16" s="1">
        <v>666</v>
      </c>
      <c r="F16" s="1" t="s">
        <v>10</v>
      </c>
      <c r="G16" s="1">
        <v>3.1715396182489586E-2</v>
      </c>
      <c r="H16" s="1">
        <v>2.1237229565384133E-3</v>
      </c>
      <c r="I16" s="1">
        <v>2582.8738949999952</v>
      </c>
      <c r="J16" s="1">
        <v>4925.0956397428454</v>
      </c>
      <c r="L16">
        <f t="shared" ref="L16:L23" si="8">(G16*500-G15)/500</f>
        <v>3.169497447002418E-2</v>
      </c>
      <c r="M16">
        <f t="shared" si="6"/>
        <v>-3.169497447002418E-2</v>
      </c>
      <c r="N16">
        <f t="shared" si="7"/>
        <v>1.1191515498829288E-3</v>
      </c>
      <c r="O16">
        <f t="shared" si="3"/>
        <v>1.3113859224546005E-4</v>
      </c>
    </row>
    <row r="17" spans="1:15" x14ac:dyDescent="0.25">
      <c r="A17">
        <v>200</v>
      </c>
      <c r="B17">
        <v>1000</v>
      </c>
      <c r="C17">
        <v>1E-8</v>
      </c>
      <c r="D17">
        <v>0.99</v>
      </c>
      <c r="E17">
        <v>500</v>
      </c>
      <c r="F17" t="s">
        <v>10</v>
      </c>
      <c r="G17">
        <v>8.9034236821417659E-2</v>
      </c>
      <c r="H17">
        <v>1.6020392264141911E-2</v>
      </c>
      <c r="I17">
        <v>3122.302647999994</v>
      </c>
      <c r="J17">
        <v>5547.3882034489588</v>
      </c>
      <c r="L17">
        <f t="shared" si="8"/>
        <v>8.8970806029052676E-2</v>
      </c>
      <c r="M17">
        <f t="shared" si="6"/>
        <v>-8.8970806029052676E-2</v>
      </c>
      <c r="N17">
        <f t="shared" si="7"/>
        <v>8.1045879386825951E-3</v>
      </c>
      <c r="O17">
        <f t="shared" si="3"/>
        <v>3.5289990096480932E-4</v>
      </c>
    </row>
    <row r="18" spans="1:15" x14ac:dyDescent="0.25">
      <c r="A18">
        <v>250</v>
      </c>
      <c r="B18">
        <v>1000</v>
      </c>
      <c r="C18">
        <v>1E-8</v>
      </c>
      <c r="D18">
        <v>0.99</v>
      </c>
      <c r="E18">
        <v>400</v>
      </c>
      <c r="F18" t="s">
        <v>10</v>
      </c>
      <c r="G18">
        <v>0.15687381305037174</v>
      </c>
      <c r="H18">
        <v>4.8354769355142511E-2</v>
      </c>
      <c r="I18">
        <v>3925.2137989999937</v>
      </c>
      <c r="J18">
        <v>7025.8413017524053</v>
      </c>
      <c r="L18">
        <f t="shared" si="8"/>
        <v>0.15669574457672888</v>
      </c>
      <c r="M18">
        <f t="shared" si="6"/>
        <v>-0.15669574457672888</v>
      </c>
      <c r="N18">
        <f t="shared" si="7"/>
        <v>2.380121298668705E-2</v>
      </c>
      <c r="O18">
        <f t="shared" si="3"/>
        <v>6.0476355647362534E-4</v>
      </c>
    </row>
    <row r="19" spans="1:15" x14ac:dyDescent="0.25">
      <c r="A19">
        <v>300</v>
      </c>
      <c r="B19">
        <v>1000</v>
      </c>
      <c r="C19">
        <v>1E-8</v>
      </c>
      <c r="D19">
        <v>0.99</v>
      </c>
      <c r="E19">
        <v>333</v>
      </c>
      <c r="F19" t="s">
        <v>10</v>
      </c>
      <c r="G19">
        <v>0.20248605800034961</v>
      </c>
      <c r="H19">
        <v>7.8244151936072523E-2</v>
      </c>
      <c r="I19">
        <v>4503.8516040000004</v>
      </c>
      <c r="J19">
        <v>7776.6371380606661</v>
      </c>
      <c r="L19">
        <f t="shared" si="8"/>
        <v>0.20217231037424888</v>
      </c>
      <c r="M19">
        <f t="shared" si="6"/>
        <v>-0.20217231037424888</v>
      </c>
      <c r="N19">
        <f t="shared" si="7"/>
        <v>3.73705088540109E-2</v>
      </c>
      <c r="O19">
        <f t="shared" si="3"/>
        <v>7.5779297123572821E-4</v>
      </c>
    </row>
    <row r="20" spans="1:15" x14ac:dyDescent="0.25">
      <c r="A20">
        <v>350</v>
      </c>
      <c r="B20">
        <v>1000</v>
      </c>
      <c r="C20">
        <v>1E-8</v>
      </c>
      <c r="D20">
        <v>0.99</v>
      </c>
      <c r="E20">
        <v>285</v>
      </c>
      <c r="F20" t="s">
        <v>10</v>
      </c>
      <c r="G20">
        <v>0.20850812047930387</v>
      </c>
      <c r="H20">
        <v>8.4650042561683778E-2</v>
      </c>
      <c r="I20">
        <v>5003.0216139999993</v>
      </c>
      <c r="J20">
        <v>8275.3737709438392</v>
      </c>
      <c r="L20">
        <f t="shared" si="8"/>
        <v>0.20810314836330318</v>
      </c>
      <c r="M20">
        <f t="shared" si="6"/>
        <v>-0.20810314836330318</v>
      </c>
      <c r="N20">
        <f t="shared" si="7"/>
        <v>4.1343122202964801E-2</v>
      </c>
      <c r="O20">
        <f t="shared" si="3"/>
        <v>7.9705392102394064E-4</v>
      </c>
    </row>
    <row r="21" spans="1:15" x14ac:dyDescent="0.25">
      <c r="A21">
        <v>400</v>
      </c>
      <c r="B21">
        <v>1000</v>
      </c>
      <c r="C21">
        <v>1E-8</v>
      </c>
      <c r="D21">
        <v>0.99</v>
      </c>
      <c r="E21">
        <v>250</v>
      </c>
      <c r="F21" t="s">
        <v>10</v>
      </c>
      <c r="G21">
        <v>0.2200378568589571</v>
      </c>
      <c r="H21">
        <v>9.6497126298316444E-2</v>
      </c>
      <c r="I21">
        <v>5504.100577000002</v>
      </c>
      <c r="J21">
        <v>8777.8197445384176</v>
      </c>
      <c r="L21">
        <f t="shared" si="8"/>
        <v>0.21962084061799847</v>
      </c>
      <c r="M21">
        <f t="shared" si="6"/>
        <v>-0.21962084061799847</v>
      </c>
      <c r="N21">
        <f t="shared" si="7"/>
        <v>4.826381266456016E-2</v>
      </c>
      <c r="O21">
        <f t="shared" si="3"/>
        <v>8.6118583994901896E-4</v>
      </c>
    </row>
    <row r="22" spans="1:15" x14ac:dyDescent="0.25">
      <c r="A22">
        <v>450</v>
      </c>
      <c r="B22">
        <v>1000</v>
      </c>
      <c r="C22">
        <v>1E-8</v>
      </c>
      <c r="D22">
        <v>0.99</v>
      </c>
      <c r="E22">
        <v>222</v>
      </c>
      <c r="F22" t="s">
        <v>10</v>
      </c>
      <c r="G22">
        <v>0.23023426173410189</v>
      </c>
      <c r="H22">
        <v>0.10669383454155773</v>
      </c>
      <c r="I22">
        <v>6007.9092580000042</v>
      </c>
      <c r="J22">
        <v>9287.6302756189998</v>
      </c>
      <c r="L22">
        <f t="shared" si="8"/>
        <v>0.22979418602038398</v>
      </c>
      <c r="M22">
        <f t="shared" si="6"/>
        <v>-0.22979418602038398</v>
      </c>
      <c r="N22">
        <f t="shared" si="7"/>
        <v>5.3888466612786894E-2</v>
      </c>
      <c r="O22">
        <f t="shared" si="3"/>
        <v>9.0998446874588387E-4</v>
      </c>
    </row>
    <row r="23" spans="1:15" x14ac:dyDescent="0.25">
      <c r="A23">
        <v>500</v>
      </c>
      <c r="B23">
        <v>1000</v>
      </c>
      <c r="C23">
        <v>1E-8</v>
      </c>
      <c r="D23">
        <v>0.99</v>
      </c>
      <c r="E23">
        <v>200</v>
      </c>
      <c r="F23" t="s">
        <v>10</v>
      </c>
      <c r="G23">
        <v>0.23505097406923275</v>
      </c>
      <c r="H23">
        <v>0.10409095368269462</v>
      </c>
      <c r="I23">
        <v>6508.6697500000055</v>
      </c>
      <c r="J23">
        <v>9789.5178193011052</v>
      </c>
      <c r="L23">
        <f t="shared" si="8"/>
        <v>0.23459050554576455</v>
      </c>
      <c r="M23">
        <f t="shared" si="6"/>
        <v>-0.23459050554576455</v>
      </c>
      <c r="N23">
        <f t="shared" si="7"/>
        <v>4.9058248390477233E-2</v>
      </c>
      <c r="O23">
        <f t="shared" si="3"/>
        <v>8.6824459000182041E-4</v>
      </c>
    </row>
    <row r="24" spans="1:15" x14ac:dyDescent="0.25">
      <c r="M24">
        <f t="shared" si="4"/>
        <v>0</v>
      </c>
      <c r="N24">
        <f t="shared" si="5"/>
        <v>0</v>
      </c>
      <c r="O24">
        <f t="shared" si="3"/>
        <v>0</v>
      </c>
    </row>
    <row r="25" spans="1:15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9</v>
      </c>
      <c r="M25" t="e">
        <f t="shared" si="4"/>
        <v>#VALUE!</v>
      </c>
      <c r="N25" t="e">
        <f t="shared" si="5"/>
        <v>#VALUE!</v>
      </c>
      <c r="O25" t="e">
        <f t="shared" si="3"/>
        <v>#VALUE!</v>
      </c>
    </row>
    <row r="26" spans="1:15" x14ac:dyDescent="0.25">
      <c r="A26" s="1">
        <v>50</v>
      </c>
      <c r="B26" s="1">
        <v>1000</v>
      </c>
      <c r="C26" s="1">
        <v>1E-8</v>
      </c>
      <c r="D26" s="1">
        <v>0.99</v>
      </c>
      <c r="E26" s="1">
        <v>2000</v>
      </c>
      <c r="F26" s="1" t="s">
        <v>10</v>
      </c>
      <c r="G26" s="1">
        <v>5.1113704353942602E-3</v>
      </c>
      <c r="H26" s="1">
        <v>5.5763733579720103E-5</v>
      </c>
      <c r="I26" s="1">
        <v>1000.7219600000001</v>
      </c>
      <c r="J26" s="1">
        <v>2128.8052440546871</v>
      </c>
      <c r="L26">
        <f>G26</f>
        <v>5.1113704353942602E-3</v>
      </c>
      <c r="M26">
        <f>-L26</f>
        <v>-5.1113704353942602E-3</v>
      </c>
      <c r="N26">
        <f>H26-L26*L26</f>
        <v>2.9637625851897594E-5</v>
      </c>
      <c r="O26">
        <f t="shared" si="3"/>
        <v>2.1340656360351225E-5</v>
      </c>
    </row>
    <row r="27" spans="1:15" x14ac:dyDescent="0.25">
      <c r="A27" s="1">
        <v>100</v>
      </c>
      <c r="B27" s="1">
        <v>1000</v>
      </c>
      <c r="C27" s="1">
        <v>1E-8</v>
      </c>
      <c r="D27" s="1">
        <v>0.99</v>
      </c>
      <c r="E27" s="1">
        <v>1000</v>
      </c>
      <c r="F27" s="1" t="s">
        <v>10</v>
      </c>
      <c r="G27" s="1">
        <v>1.0486576076300241E-2</v>
      </c>
      <c r="H27" s="1">
        <v>2.3406661999201791E-4</v>
      </c>
      <c r="I27" s="1">
        <v>1029.579011</v>
      </c>
      <c r="J27" s="1">
        <v>2196.7712423863009</v>
      </c>
      <c r="L27">
        <f t="shared" ref="L27:L35" si="9">G27</f>
        <v>1.0486576076300241E-2</v>
      </c>
      <c r="M27">
        <f t="shared" ref="M27:M35" si="10">-L27</f>
        <v>-1.0486576076300241E-2</v>
      </c>
      <c r="N27">
        <f t="shared" ref="N27:N35" si="11">H27-L27*L27</f>
        <v>1.2409834218798536E-4</v>
      </c>
      <c r="O27">
        <f t="shared" si="3"/>
        <v>4.3668578696786762E-5</v>
      </c>
    </row>
    <row r="28" spans="1:15" x14ac:dyDescent="0.25">
      <c r="A28" s="1">
        <v>150</v>
      </c>
      <c r="B28" s="1">
        <v>1000</v>
      </c>
      <c r="C28" s="1">
        <v>1E-8</v>
      </c>
      <c r="D28" s="1">
        <v>0.99</v>
      </c>
      <c r="E28" s="1">
        <v>666</v>
      </c>
      <c r="F28" s="1" t="s">
        <v>10</v>
      </c>
      <c r="G28" s="1">
        <v>3.3612684497249572E-2</v>
      </c>
      <c r="H28" s="1">
        <v>2.4318024558100931E-3</v>
      </c>
      <c r="I28" s="1">
        <v>896.82513000000063</v>
      </c>
      <c r="J28" s="1">
        <v>1859.271626377476</v>
      </c>
      <c r="L28">
        <f t="shared" si="9"/>
        <v>3.3612684497249572E-2</v>
      </c>
      <c r="M28">
        <f t="shared" si="10"/>
        <v>-3.3612684497249572E-2</v>
      </c>
      <c r="N28">
        <f t="shared" si="11"/>
        <v>1.3019898966984513E-3</v>
      </c>
      <c r="O28">
        <f t="shared" si="3"/>
        <v>1.4144574065212104E-4</v>
      </c>
    </row>
    <row r="29" spans="1:15" x14ac:dyDescent="0.25">
      <c r="A29">
        <v>200</v>
      </c>
      <c r="B29">
        <v>1000</v>
      </c>
      <c r="C29">
        <v>1E-8</v>
      </c>
      <c r="D29">
        <v>0.99</v>
      </c>
      <c r="E29">
        <v>500</v>
      </c>
      <c r="F29" t="s">
        <v>10</v>
      </c>
      <c r="G29">
        <v>8.6643656358960638E-2</v>
      </c>
      <c r="H29">
        <v>1.5552170014833368E-2</v>
      </c>
      <c r="I29">
        <v>917.57426899999962</v>
      </c>
      <c r="J29">
        <v>1806.2166799996251</v>
      </c>
      <c r="L29">
        <f t="shared" si="9"/>
        <v>8.6643656358960638E-2</v>
      </c>
      <c r="M29">
        <f t="shared" si="10"/>
        <v>-8.6643656358960638E-2</v>
      </c>
      <c r="N29">
        <f t="shared" si="11"/>
        <v>8.0450468275837066E-3</v>
      </c>
      <c r="O29">
        <f t="shared" si="3"/>
        <v>3.5160120530422284E-4</v>
      </c>
    </row>
    <row r="30" spans="1:15" x14ac:dyDescent="0.25">
      <c r="A30">
        <v>250</v>
      </c>
      <c r="B30">
        <v>1000</v>
      </c>
      <c r="C30">
        <v>1E-8</v>
      </c>
      <c r="D30">
        <v>0.99</v>
      </c>
      <c r="E30">
        <v>400</v>
      </c>
      <c r="F30" t="s">
        <v>10</v>
      </c>
      <c r="G30">
        <v>0.16124579046699519</v>
      </c>
      <c r="H30">
        <v>4.9827483672651711E-2</v>
      </c>
      <c r="I30">
        <v>977.86616700000002</v>
      </c>
      <c r="J30">
        <v>2004.0614199315635</v>
      </c>
      <c r="L30">
        <f t="shared" si="9"/>
        <v>0.16124579046699519</v>
      </c>
      <c r="M30">
        <f t="shared" si="10"/>
        <v>-0.16124579046699519</v>
      </c>
      <c r="N30">
        <f t="shared" si="11"/>
        <v>2.3827278729325593E-2</v>
      </c>
      <c r="O30">
        <f t="shared" si="3"/>
        <v>6.0509461728419688E-4</v>
      </c>
    </row>
    <row r="31" spans="1:15" x14ac:dyDescent="0.25">
      <c r="A31">
        <v>300</v>
      </c>
      <c r="B31">
        <v>1000</v>
      </c>
      <c r="C31">
        <v>1E-8</v>
      </c>
      <c r="D31">
        <v>0.99</v>
      </c>
      <c r="E31">
        <v>333</v>
      </c>
      <c r="F31" t="s">
        <v>10</v>
      </c>
      <c r="G31">
        <v>0.19990814202431939</v>
      </c>
      <c r="H31">
        <v>8.1363719973885432E-2</v>
      </c>
      <c r="I31">
        <v>960.21897699999897</v>
      </c>
      <c r="J31">
        <v>1949.0198959568095</v>
      </c>
      <c r="L31">
        <f t="shared" si="9"/>
        <v>0.19990814202431939</v>
      </c>
      <c r="M31">
        <f t="shared" si="10"/>
        <v>-0.19990814202431939</v>
      </c>
      <c r="N31">
        <f t="shared" si="11"/>
        <v>4.1400454726269978E-2</v>
      </c>
      <c r="O31">
        <f t="shared" si="3"/>
        <v>7.9760638632457982E-4</v>
      </c>
    </row>
    <row r="32" spans="1:15" x14ac:dyDescent="0.25">
      <c r="A32">
        <v>350</v>
      </c>
      <c r="B32">
        <v>1000</v>
      </c>
      <c r="C32">
        <v>1E-8</v>
      </c>
      <c r="D32">
        <v>0.99</v>
      </c>
      <c r="E32">
        <v>285</v>
      </c>
      <c r="F32" t="s">
        <v>10</v>
      </c>
      <c r="G32">
        <v>0.2221340553897275</v>
      </c>
      <c r="H32">
        <v>9.7403942324778614E-2</v>
      </c>
      <c r="I32">
        <v>1008.6933619999998</v>
      </c>
      <c r="J32">
        <v>2111.4964436440382</v>
      </c>
      <c r="L32">
        <f t="shared" si="9"/>
        <v>0.2221340553897275</v>
      </c>
      <c r="M32">
        <f t="shared" si="10"/>
        <v>-0.2221340553897275</v>
      </c>
      <c r="N32">
        <f t="shared" si="11"/>
        <v>4.8060403760892087E-2</v>
      </c>
      <c r="O32">
        <f t="shared" si="3"/>
        <v>8.5936918047563944E-4</v>
      </c>
    </row>
    <row r="33" spans="1:15" x14ac:dyDescent="0.25">
      <c r="A33">
        <v>400</v>
      </c>
      <c r="B33">
        <v>1000</v>
      </c>
      <c r="C33">
        <v>1E-8</v>
      </c>
      <c r="D33">
        <v>0.99</v>
      </c>
      <c r="E33">
        <v>250</v>
      </c>
      <c r="F33" t="s">
        <v>10</v>
      </c>
      <c r="G33">
        <v>0.23338547750835814</v>
      </c>
      <c r="H33">
        <v>9.8287312509595312E-2</v>
      </c>
      <c r="I33">
        <v>848.02230299999928</v>
      </c>
      <c r="J33">
        <v>1553.5822695547902</v>
      </c>
      <c r="L33">
        <f t="shared" si="9"/>
        <v>0.23338547750835814</v>
      </c>
      <c r="M33">
        <f t="shared" si="10"/>
        <v>-0.23338547750835814</v>
      </c>
      <c r="N33">
        <f t="shared" si="11"/>
        <v>4.3818531397790968E-2</v>
      </c>
      <c r="O33">
        <f t="shared" si="3"/>
        <v>8.2056875450568746E-4</v>
      </c>
    </row>
    <row r="34" spans="1:15" x14ac:dyDescent="0.25">
      <c r="A34">
        <v>450</v>
      </c>
      <c r="B34">
        <v>1000</v>
      </c>
      <c r="C34">
        <v>1E-8</v>
      </c>
      <c r="D34">
        <v>0.99</v>
      </c>
      <c r="E34">
        <v>222</v>
      </c>
      <c r="F34" t="s">
        <v>10</v>
      </c>
      <c r="G34">
        <v>0.23996797017919302</v>
      </c>
      <c r="H34">
        <v>0.10724299430472714</v>
      </c>
      <c r="I34">
        <v>606.49609699999962</v>
      </c>
      <c r="J34">
        <v>766.07646588976547</v>
      </c>
      <c r="L34">
        <f t="shared" si="9"/>
        <v>0.23996797017919302</v>
      </c>
      <c r="M34">
        <f t="shared" si="10"/>
        <v>-0.23996797017919302</v>
      </c>
      <c r="N34">
        <f t="shared" si="11"/>
        <v>4.9658367592805071E-2</v>
      </c>
      <c r="O34">
        <f t="shared" si="3"/>
        <v>8.7353897438985503E-4</v>
      </c>
    </row>
    <row r="35" spans="1:15" x14ac:dyDescent="0.25">
      <c r="A35">
        <v>500</v>
      </c>
      <c r="B35">
        <v>1000</v>
      </c>
      <c r="C35">
        <v>1E-8</v>
      </c>
      <c r="D35">
        <v>0.99</v>
      </c>
      <c r="E35">
        <v>200</v>
      </c>
      <c r="F35" t="s">
        <v>10</v>
      </c>
      <c r="G35">
        <v>0.22204779681934808</v>
      </c>
      <c r="H35">
        <v>9.64433089715548E-2</v>
      </c>
      <c r="I35">
        <v>583.20823800000028</v>
      </c>
      <c r="J35">
        <v>693.19425876699756</v>
      </c>
      <c r="L35">
        <f t="shared" si="9"/>
        <v>0.22204779681934808</v>
      </c>
      <c r="M35">
        <f t="shared" si="10"/>
        <v>-0.22204779681934808</v>
      </c>
      <c r="N35">
        <f t="shared" si="11"/>
        <v>4.7138084899228314E-2</v>
      </c>
      <c r="O35">
        <f t="shared" si="3"/>
        <v>8.5108323200231242E-4</v>
      </c>
    </row>
    <row r="36" spans="1:15" x14ac:dyDescent="0.25">
      <c r="A36" s="2">
        <v>100</v>
      </c>
      <c r="M36">
        <f t="shared" si="4"/>
        <v>0</v>
      </c>
      <c r="N36">
        <f t="shared" si="5"/>
        <v>0</v>
      </c>
      <c r="O36">
        <f t="shared" si="3"/>
        <v>0</v>
      </c>
    </row>
    <row r="37" spans="1:15" x14ac:dyDescent="0.2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t="s">
        <v>7</v>
      </c>
      <c r="I37" t="s">
        <v>8</v>
      </c>
      <c r="J37" t="s">
        <v>9</v>
      </c>
      <c r="M37" t="e">
        <f t="shared" si="4"/>
        <v>#VALUE!</v>
      </c>
      <c r="N37" t="e">
        <f t="shared" si="5"/>
        <v>#VALUE!</v>
      </c>
      <c r="O37" t="e">
        <f t="shared" si="3"/>
        <v>#VALUE!</v>
      </c>
    </row>
    <row r="38" spans="1:15" x14ac:dyDescent="0.25">
      <c r="A38" s="1">
        <v>50</v>
      </c>
      <c r="B38" s="1">
        <v>1000</v>
      </c>
      <c r="C38" s="1">
        <v>1E-8</v>
      </c>
      <c r="D38" s="1">
        <v>0.99</v>
      </c>
      <c r="E38" s="1">
        <v>2000</v>
      </c>
      <c r="F38" s="1" t="s">
        <v>12</v>
      </c>
      <c r="G38" s="1">
        <v>-19.189232265448613</v>
      </c>
      <c r="H38" s="1">
        <v>368.22964927658575</v>
      </c>
      <c r="I38" s="1">
        <v>149.29296499999995</v>
      </c>
      <c r="J38" s="1">
        <v>254.48169229244502</v>
      </c>
      <c r="L38">
        <f>G38</f>
        <v>-19.189232265448613</v>
      </c>
      <c r="M38">
        <f>-L38</f>
        <v>19.189232265448613</v>
      </c>
      <c r="N38">
        <f>H38-L38*L38</f>
        <v>3.0143392516492895E-3</v>
      </c>
      <c r="O38">
        <f t="shared" si="3"/>
        <v>2.152197543826859E-4</v>
      </c>
    </row>
    <row r="39" spans="1:15" x14ac:dyDescent="0.25">
      <c r="A39" s="1">
        <v>100</v>
      </c>
      <c r="B39" s="1">
        <v>1000</v>
      </c>
      <c r="C39" s="1">
        <v>1E-8</v>
      </c>
      <c r="D39" s="1">
        <v>0.99</v>
      </c>
      <c r="E39" s="1">
        <v>1000</v>
      </c>
      <c r="F39" s="1" t="s">
        <v>12</v>
      </c>
      <c r="G39" s="1">
        <v>-19.019707082334705</v>
      </c>
      <c r="H39" s="1">
        <v>361.78041807490922</v>
      </c>
      <c r="I39" s="1">
        <v>179.34524400000009</v>
      </c>
      <c r="J39" s="1">
        <v>353.92626544738596</v>
      </c>
      <c r="L39">
        <f t="shared" ref="L39:L47" si="12">G39</f>
        <v>-19.019707082334705</v>
      </c>
      <c r="M39">
        <f t="shared" ref="M39:M47" si="13">-L39</f>
        <v>19.019707082334705</v>
      </c>
      <c r="N39">
        <f t="shared" ref="N39:N47" si="14">H39-L39*L39</f>
        <v>3.1160577096272846E-2</v>
      </c>
      <c r="O39">
        <f t="shared" si="3"/>
        <v>6.9197246469217765E-4</v>
      </c>
    </row>
    <row r="40" spans="1:15" x14ac:dyDescent="0.25">
      <c r="A40" s="1">
        <v>150</v>
      </c>
      <c r="B40" s="1">
        <v>1000</v>
      </c>
      <c r="C40" s="1">
        <v>1E-8</v>
      </c>
      <c r="D40" s="1">
        <v>0.99</v>
      </c>
      <c r="E40" s="1">
        <v>666</v>
      </c>
      <c r="F40" s="1" t="s">
        <v>12</v>
      </c>
      <c r="G40" s="1">
        <v>-18.956731373484502</v>
      </c>
      <c r="H40" s="1">
        <v>359.40209310273514</v>
      </c>
      <c r="I40" s="1">
        <v>162.35843600000001</v>
      </c>
      <c r="J40" s="1">
        <v>296.46102074044791</v>
      </c>
      <c r="L40">
        <f t="shared" si="12"/>
        <v>-18.956731373484502</v>
      </c>
      <c r="M40">
        <f t="shared" si="13"/>
        <v>18.956731373484502</v>
      </c>
      <c r="N40">
        <f t="shared" si="14"/>
        <v>4.4428736283521175E-2</v>
      </c>
      <c r="O40">
        <f t="shared" si="3"/>
        <v>8.2626250866604128E-4</v>
      </c>
    </row>
    <row r="41" spans="1:15" x14ac:dyDescent="0.25">
      <c r="A41">
        <v>200</v>
      </c>
      <c r="B41">
        <v>1000</v>
      </c>
      <c r="C41">
        <v>1E-8</v>
      </c>
      <c r="D41">
        <v>0.99</v>
      </c>
      <c r="E41">
        <v>500</v>
      </c>
      <c r="F41" t="s">
        <v>12</v>
      </c>
      <c r="G41">
        <v>-18.96582836296075</v>
      </c>
      <c r="H41">
        <v>359.74233122176321</v>
      </c>
      <c r="I41">
        <v>148.85184899999993</v>
      </c>
      <c r="J41">
        <v>258.87961006485705</v>
      </c>
      <c r="L41">
        <f t="shared" si="12"/>
        <v>-18.96582836296075</v>
      </c>
      <c r="M41">
        <f t="shared" si="13"/>
        <v>18.96582836296075</v>
      </c>
      <c r="N41">
        <f t="shared" si="14"/>
        <v>3.9685728476797522E-2</v>
      </c>
      <c r="O41">
        <f t="shared" si="3"/>
        <v>7.8091406573698059E-4</v>
      </c>
    </row>
    <row r="42" spans="1:15" x14ac:dyDescent="0.25">
      <c r="A42">
        <v>250</v>
      </c>
      <c r="B42">
        <v>1000</v>
      </c>
      <c r="C42">
        <v>1E-8</v>
      </c>
      <c r="D42">
        <v>0.99</v>
      </c>
      <c r="E42">
        <v>400</v>
      </c>
      <c r="F42" t="s">
        <v>12</v>
      </c>
      <c r="G42">
        <v>-18.937253419651157</v>
      </c>
      <c r="H42">
        <v>358.66365280328455</v>
      </c>
      <c r="I42">
        <v>153.79472699999994</v>
      </c>
      <c r="J42">
        <v>271.26230946230311</v>
      </c>
      <c r="L42">
        <f t="shared" si="12"/>
        <v>-18.937253419651157</v>
      </c>
      <c r="M42">
        <f t="shared" si="13"/>
        <v>18.937253419651157</v>
      </c>
      <c r="N42">
        <f t="shared" si="14"/>
        <v>4.4085723195109949E-2</v>
      </c>
      <c r="O42">
        <f t="shared" si="3"/>
        <v>8.2306673903477447E-4</v>
      </c>
    </row>
    <row r="43" spans="1:15" x14ac:dyDescent="0.25">
      <c r="A43">
        <v>300</v>
      </c>
      <c r="B43">
        <v>1000</v>
      </c>
      <c r="C43">
        <v>1E-8</v>
      </c>
      <c r="D43">
        <v>0.99</v>
      </c>
      <c r="E43">
        <v>333</v>
      </c>
      <c r="F43" t="s">
        <v>12</v>
      </c>
      <c r="G43">
        <v>-18.969500544494409</v>
      </c>
      <c r="H43">
        <v>359.89217905603698</v>
      </c>
      <c r="I43">
        <v>155.68665600000003</v>
      </c>
      <c r="J43">
        <v>275.0979367851221</v>
      </c>
      <c r="L43">
        <f t="shared" si="12"/>
        <v>-18.969500544494409</v>
      </c>
      <c r="M43">
        <f t="shared" si="13"/>
        <v>18.969500544494409</v>
      </c>
      <c r="N43">
        <f t="shared" si="14"/>
        <v>5.0228148463304478E-2</v>
      </c>
      <c r="O43">
        <f t="shared" si="3"/>
        <v>8.7853618055634003E-4</v>
      </c>
    </row>
    <row r="44" spans="1:15" x14ac:dyDescent="0.25">
      <c r="A44">
        <v>350</v>
      </c>
      <c r="B44">
        <v>1000</v>
      </c>
      <c r="C44">
        <v>1E-8</v>
      </c>
      <c r="D44">
        <v>0.99</v>
      </c>
      <c r="E44">
        <v>285</v>
      </c>
      <c r="F44" t="s">
        <v>12</v>
      </c>
      <c r="G44">
        <v>-18.941373892539854</v>
      </c>
      <c r="H44">
        <v>358.82622475568439</v>
      </c>
      <c r="I44">
        <v>173.0985299999999</v>
      </c>
      <c r="J44">
        <v>333.32209367401214</v>
      </c>
      <c r="L44">
        <f t="shared" si="12"/>
        <v>-18.941373892539854</v>
      </c>
      <c r="M44">
        <f t="shared" si="13"/>
        <v>18.941373892539854</v>
      </c>
      <c r="N44">
        <f t="shared" si="14"/>
        <v>5.0579818694018286E-2</v>
      </c>
      <c r="O44">
        <f t="shared" si="3"/>
        <v>8.8160633276977002E-4</v>
      </c>
    </row>
    <row r="45" spans="1:15" x14ac:dyDescent="0.25">
      <c r="A45">
        <v>400</v>
      </c>
      <c r="B45">
        <v>1000</v>
      </c>
      <c r="C45">
        <v>1E-8</v>
      </c>
      <c r="D45">
        <v>0.99</v>
      </c>
      <c r="E45">
        <v>250</v>
      </c>
      <c r="F45" t="s">
        <v>12</v>
      </c>
      <c r="G45">
        <v>-18.936005399319228</v>
      </c>
      <c r="H45">
        <v>358.61748932754296</v>
      </c>
      <c r="I45">
        <v>158.86960499999998</v>
      </c>
      <c r="J45">
        <v>286.78405666614896</v>
      </c>
      <c r="L45">
        <f t="shared" si="12"/>
        <v>-18.936005399319228</v>
      </c>
      <c r="M45">
        <f t="shared" si="13"/>
        <v>18.936005399319228</v>
      </c>
      <c r="N45">
        <f t="shared" si="14"/>
        <v>4.5188844496010461E-2</v>
      </c>
      <c r="O45">
        <f t="shared" si="3"/>
        <v>8.3330058206117631E-4</v>
      </c>
    </row>
    <row r="46" spans="1:15" x14ac:dyDescent="0.25">
      <c r="A46">
        <v>450</v>
      </c>
      <c r="B46">
        <v>1000</v>
      </c>
      <c r="C46">
        <v>1E-8</v>
      </c>
      <c r="D46">
        <v>0.99</v>
      </c>
      <c r="E46">
        <v>222</v>
      </c>
      <c r="F46" t="s">
        <v>12</v>
      </c>
      <c r="G46">
        <v>-18.931670640845276</v>
      </c>
      <c r="H46">
        <v>358.45985463233251</v>
      </c>
      <c r="I46">
        <v>168.31521200000009</v>
      </c>
      <c r="J46">
        <v>315.74235919356403</v>
      </c>
      <c r="L46">
        <f t="shared" si="12"/>
        <v>-18.931670640845276</v>
      </c>
      <c r="M46">
        <f t="shared" si="13"/>
        <v>18.931670640845276</v>
      </c>
      <c r="N46">
        <f t="shared" si="14"/>
        <v>5.1701378889504213E-2</v>
      </c>
      <c r="O46">
        <f t="shared" si="3"/>
        <v>8.9132713891571685E-4</v>
      </c>
    </row>
    <row r="47" spans="1:15" x14ac:dyDescent="0.25">
      <c r="A47">
        <v>500</v>
      </c>
      <c r="B47">
        <v>1000</v>
      </c>
      <c r="C47">
        <v>1E-8</v>
      </c>
      <c r="D47">
        <v>0.99</v>
      </c>
      <c r="E47">
        <v>200</v>
      </c>
      <c r="F47" t="s">
        <v>12</v>
      </c>
      <c r="G47">
        <v>-18.973997646779136</v>
      </c>
      <c r="H47">
        <v>360.05786713744493</v>
      </c>
      <c r="I47">
        <v>128.28376399999996</v>
      </c>
      <c r="J47">
        <v>196.87595164741398</v>
      </c>
      <c r="L47">
        <f t="shared" si="12"/>
        <v>-18.973997646779136</v>
      </c>
      <c r="M47">
        <f t="shared" si="13"/>
        <v>18.973997646779136</v>
      </c>
      <c r="N47">
        <f t="shared" si="14"/>
        <v>4.5280437464725765E-2</v>
      </c>
      <c r="O47">
        <f t="shared" si="3"/>
        <v>8.3414466027060446E-4</v>
      </c>
    </row>
    <row r="48" spans="1:15" x14ac:dyDescent="0.25">
      <c r="M48">
        <f t="shared" si="4"/>
        <v>0</v>
      </c>
      <c r="N48">
        <f t="shared" si="5"/>
        <v>0</v>
      </c>
      <c r="O48">
        <f t="shared" si="3"/>
        <v>0</v>
      </c>
    </row>
    <row r="49" spans="1:15" x14ac:dyDescent="0.25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t="s">
        <v>7</v>
      </c>
      <c r="I49" t="s">
        <v>8</v>
      </c>
      <c r="J49" t="s">
        <v>9</v>
      </c>
      <c r="M49" t="e">
        <f t="shared" si="4"/>
        <v>#VALUE!</v>
      </c>
      <c r="N49" t="e">
        <f t="shared" si="5"/>
        <v>#VALUE!</v>
      </c>
      <c r="O49" t="e">
        <f t="shared" si="3"/>
        <v>#VALUE!</v>
      </c>
    </row>
    <row r="50" spans="1:15" x14ac:dyDescent="0.25">
      <c r="A50" s="1">
        <v>50</v>
      </c>
      <c r="B50" s="1">
        <v>1000</v>
      </c>
      <c r="C50" s="1">
        <v>1E-8</v>
      </c>
      <c r="D50" s="1">
        <v>0.99</v>
      </c>
      <c r="E50" s="1">
        <v>2000</v>
      </c>
      <c r="F50" s="1" t="s">
        <v>13</v>
      </c>
      <c r="G50" s="1">
        <v>-0.99790093572360572</v>
      </c>
      <c r="H50" s="1">
        <v>0.99580883377286977</v>
      </c>
      <c r="I50" s="1">
        <v>86.431850999999966</v>
      </c>
      <c r="J50" s="1">
        <v>74.723960572623</v>
      </c>
      <c r="L50">
        <f>G50</f>
        <v>-0.99790093572360572</v>
      </c>
      <c r="M50">
        <f>-L50</f>
        <v>0.99790093572360572</v>
      </c>
      <c r="N50">
        <f>H50-L50*L50</f>
        <v>2.5562548219282277E-6</v>
      </c>
      <c r="O50">
        <f t="shared" si="3"/>
        <v>6.2674104776756021E-6</v>
      </c>
    </row>
    <row r="51" spans="1:15" x14ac:dyDescent="0.25">
      <c r="A51" s="1">
        <v>100</v>
      </c>
      <c r="B51" s="1">
        <v>1000</v>
      </c>
      <c r="C51" s="1">
        <v>1E-8</v>
      </c>
      <c r="D51" s="1">
        <v>0.99</v>
      </c>
      <c r="E51" s="1">
        <v>1000</v>
      </c>
      <c r="F51" s="1" t="s">
        <v>13</v>
      </c>
      <c r="G51" s="1">
        <v>-0.99890022041498772</v>
      </c>
      <c r="H51" s="1">
        <v>0.99780254402515267</v>
      </c>
      <c r="I51" s="1">
        <v>84.213036999999943</v>
      </c>
      <c r="J51" s="1">
        <v>70.922636938536996</v>
      </c>
      <c r="L51">
        <f t="shared" ref="L51:L59" si="15">G51</f>
        <v>-0.99890022041498772</v>
      </c>
      <c r="M51">
        <f t="shared" ref="M51:M59" si="16">-L51</f>
        <v>0.99890022041498772</v>
      </c>
      <c r="N51">
        <f t="shared" ref="N51:N59" si="17">H51-L51*L51</f>
        <v>8.9368004163592474E-7</v>
      </c>
      <c r="O51">
        <f t="shared" si="3"/>
        <v>3.7057583558287057E-6</v>
      </c>
    </row>
    <row r="52" spans="1:15" x14ac:dyDescent="0.25">
      <c r="A52" s="1">
        <v>150</v>
      </c>
      <c r="B52" s="1">
        <v>1000</v>
      </c>
      <c r="C52" s="1">
        <v>1E-8</v>
      </c>
      <c r="D52" s="1">
        <v>0.99</v>
      </c>
      <c r="E52" s="1">
        <v>666</v>
      </c>
      <c r="F52" s="1" t="s">
        <v>13</v>
      </c>
      <c r="G52" s="1">
        <v>-0.99870777642604824</v>
      </c>
      <c r="H52" s="1">
        <v>0.99741887481465741</v>
      </c>
      <c r="I52" s="1">
        <v>83.713923999999992</v>
      </c>
      <c r="J52" s="1">
        <v>70.086725080052005</v>
      </c>
      <c r="L52">
        <f t="shared" si="15"/>
        <v>-0.99870777642604824</v>
      </c>
      <c r="M52">
        <f t="shared" si="16"/>
        <v>0.99870777642604824</v>
      </c>
      <c r="N52">
        <f t="shared" si="17"/>
        <v>1.6521207958364315E-6</v>
      </c>
      <c r="O52">
        <f t="shared" si="3"/>
        <v>5.0385661648072995E-6</v>
      </c>
    </row>
    <row r="53" spans="1:15" x14ac:dyDescent="0.25">
      <c r="A53">
        <v>200</v>
      </c>
      <c r="B53">
        <v>1000</v>
      </c>
      <c r="C53">
        <v>1E-8</v>
      </c>
      <c r="D53">
        <v>0.99</v>
      </c>
      <c r="E53">
        <v>500</v>
      </c>
      <c r="F53" t="s">
        <v>13</v>
      </c>
      <c r="G53">
        <v>-0.99864801546923265</v>
      </c>
      <c r="H53">
        <v>0.99729931714988762</v>
      </c>
      <c r="I53">
        <v>83.236993999999981</v>
      </c>
      <c r="J53">
        <v>69.287192832048049</v>
      </c>
      <c r="L53">
        <f t="shared" si="15"/>
        <v>-0.99864801546923265</v>
      </c>
      <c r="M53">
        <f t="shared" si="16"/>
        <v>0.99864801546923265</v>
      </c>
      <c r="N53">
        <f t="shared" si="17"/>
        <v>1.4583492509157026E-6</v>
      </c>
      <c r="O53">
        <f t="shared" si="3"/>
        <v>4.7338755717985506E-6</v>
      </c>
    </row>
    <row r="54" spans="1:15" x14ac:dyDescent="0.25">
      <c r="A54">
        <v>250</v>
      </c>
      <c r="B54">
        <v>1000</v>
      </c>
      <c r="C54">
        <v>1E-8</v>
      </c>
      <c r="D54">
        <v>0.99</v>
      </c>
      <c r="E54">
        <v>400</v>
      </c>
      <c r="F54" t="s">
        <v>13</v>
      </c>
      <c r="G54">
        <v>-0.99866469214699638</v>
      </c>
      <c r="H54">
        <v>0.9973326657866608</v>
      </c>
      <c r="I54">
        <v>83.862011000000038</v>
      </c>
      <c r="J54">
        <v>70.334536755669006</v>
      </c>
      <c r="L54">
        <f t="shared" si="15"/>
        <v>-0.99866469214699638</v>
      </c>
      <c r="M54">
        <f t="shared" si="16"/>
        <v>0.99866469214699638</v>
      </c>
      <c r="N54">
        <f t="shared" si="17"/>
        <v>1.4984456057076656E-6</v>
      </c>
      <c r="O54">
        <f t="shared" si="3"/>
        <v>4.7985117021370569E-6</v>
      </c>
    </row>
    <row r="55" spans="1:15" x14ac:dyDescent="0.25">
      <c r="A55">
        <v>300</v>
      </c>
      <c r="B55">
        <v>1000</v>
      </c>
      <c r="C55">
        <v>1E-8</v>
      </c>
      <c r="D55">
        <v>0.99</v>
      </c>
      <c r="E55">
        <v>333</v>
      </c>
      <c r="F55" t="s">
        <v>13</v>
      </c>
      <c r="G55">
        <v>-0.99893470410354201</v>
      </c>
      <c r="H55">
        <v>0.99787156903845542</v>
      </c>
      <c r="I55">
        <v>83.545687000000029</v>
      </c>
      <c r="J55">
        <v>69.803133410180976</v>
      </c>
      <c r="L55">
        <f t="shared" si="15"/>
        <v>-0.99893470410354201</v>
      </c>
      <c r="M55">
        <f t="shared" si="16"/>
        <v>0.99893470410354201</v>
      </c>
      <c r="N55">
        <f t="shared" si="17"/>
        <v>1.0259760243602756E-6</v>
      </c>
      <c r="O55">
        <f t="shared" si="3"/>
        <v>3.9705866041089867E-6</v>
      </c>
    </row>
    <row r="56" spans="1:15" x14ac:dyDescent="0.25">
      <c r="A56">
        <v>350</v>
      </c>
      <c r="B56">
        <v>1000</v>
      </c>
      <c r="C56">
        <v>1E-8</v>
      </c>
      <c r="D56">
        <v>0.99</v>
      </c>
      <c r="E56">
        <v>285</v>
      </c>
      <c r="F56" t="s">
        <v>13</v>
      </c>
      <c r="G56">
        <v>-0.99864476315505546</v>
      </c>
      <c r="H56">
        <v>0.99729307373146181</v>
      </c>
      <c r="I56">
        <v>83.615834999999947</v>
      </c>
      <c r="J56">
        <v>69.925228206263014</v>
      </c>
      <c r="L56">
        <f t="shared" si="15"/>
        <v>-0.99864476315505546</v>
      </c>
      <c r="M56">
        <f t="shared" si="16"/>
        <v>0.99864476315505546</v>
      </c>
      <c r="N56">
        <f t="shared" si="17"/>
        <v>1.7107544449945777E-6</v>
      </c>
      <c r="O56">
        <f t="shared" si="3"/>
        <v>5.1271958323790091E-6</v>
      </c>
    </row>
    <row r="57" spans="1:15" x14ac:dyDescent="0.25">
      <c r="A57">
        <v>400</v>
      </c>
      <c r="B57">
        <v>1000</v>
      </c>
      <c r="C57">
        <v>1E-8</v>
      </c>
      <c r="D57">
        <v>0.99</v>
      </c>
      <c r="E57">
        <v>250</v>
      </c>
      <c r="F57" t="s">
        <v>13</v>
      </c>
      <c r="G57">
        <v>-0.99867449591806579</v>
      </c>
      <c r="H57">
        <v>0.99735254444830002</v>
      </c>
      <c r="I57">
        <v>83.910828000000009</v>
      </c>
      <c r="J57">
        <v>70.42845855560202</v>
      </c>
      <c r="L57">
        <f t="shared" si="15"/>
        <v>-0.99867449591806579</v>
      </c>
      <c r="M57">
        <f t="shared" si="16"/>
        <v>0.99867449591806579</v>
      </c>
      <c r="N57">
        <f t="shared" si="17"/>
        <v>1.7956510972583217E-6</v>
      </c>
      <c r="O57">
        <f t="shared" si="3"/>
        <v>5.252874738741661E-6</v>
      </c>
    </row>
    <row r="58" spans="1:15" x14ac:dyDescent="0.25">
      <c r="A58">
        <v>450</v>
      </c>
      <c r="B58">
        <v>1000</v>
      </c>
      <c r="C58">
        <v>1E-8</v>
      </c>
      <c r="D58">
        <v>0.99</v>
      </c>
      <c r="E58">
        <v>222</v>
      </c>
      <c r="F58" t="s">
        <v>13</v>
      </c>
      <c r="G58">
        <v>-0.99872259106781736</v>
      </c>
      <c r="H58">
        <v>0.99744829089047471</v>
      </c>
      <c r="I58">
        <v>83.471729999999994</v>
      </c>
      <c r="J58">
        <v>69.680491463411997</v>
      </c>
      <c r="L58">
        <f t="shared" si="15"/>
        <v>-0.99872259106781736</v>
      </c>
      <c r="M58">
        <f t="shared" si="16"/>
        <v>0.99872259106781736</v>
      </c>
      <c r="N58">
        <f t="shared" si="17"/>
        <v>1.4769812599624288E-6</v>
      </c>
      <c r="O58">
        <f t="shared" si="3"/>
        <v>4.7640198187126242E-6</v>
      </c>
    </row>
    <row r="59" spans="1:15" x14ac:dyDescent="0.25">
      <c r="A59">
        <v>500</v>
      </c>
      <c r="B59">
        <v>1000</v>
      </c>
      <c r="C59">
        <v>1E-8</v>
      </c>
      <c r="D59">
        <v>0.99</v>
      </c>
      <c r="E59">
        <v>200</v>
      </c>
      <c r="F59" t="s">
        <v>13</v>
      </c>
      <c r="G59">
        <v>-0.99863189083441728</v>
      </c>
      <c r="H59">
        <v>0.99726735440728764</v>
      </c>
      <c r="I59">
        <v>83.309488000000016</v>
      </c>
      <c r="J59">
        <v>69.409942570323977</v>
      </c>
      <c r="L59">
        <f t="shared" si="15"/>
        <v>-0.99863189083441728</v>
      </c>
      <c r="M59">
        <f t="shared" si="16"/>
        <v>0.99863189083441728</v>
      </c>
      <c r="N59">
        <f t="shared" si="17"/>
        <v>1.7010157641328405E-6</v>
      </c>
      <c r="O59">
        <f t="shared" si="3"/>
        <v>5.1125814064883972E-6</v>
      </c>
    </row>
    <row r="60" spans="1:15" x14ac:dyDescent="0.25">
      <c r="M60">
        <f t="shared" si="4"/>
        <v>0</v>
      </c>
      <c r="N60">
        <f t="shared" si="5"/>
        <v>0</v>
      </c>
      <c r="O60">
        <f t="shared" si="3"/>
        <v>0</v>
      </c>
    </row>
    <row r="61" spans="1:15" x14ac:dyDescent="0.2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t="s">
        <v>7</v>
      </c>
      <c r="I61" t="s">
        <v>8</v>
      </c>
      <c r="J61" t="s">
        <v>9</v>
      </c>
      <c r="M61" t="e">
        <f t="shared" si="4"/>
        <v>#VALUE!</v>
      </c>
      <c r="N61" t="e">
        <f t="shared" si="5"/>
        <v>#VALUE!</v>
      </c>
      <c r="O61" t="e">
        <f t="shared" si="3"/>
        <v>#VALUE!</v>
      </c>
    </row>
    <row r="62" spans="1:15" x14ac:dyDescent="0.25">
      <c r="A62" s="1">
        <v>50</v>
      </c>
      <c r="B62" s="1">
        <v>1000</v>
      </c>
      <c r="C62" s="1">
        <v>1E-8</v>
      </c>
      <c r="D62" s="1">
        <v>0.99</v>
      </c>
      <c r="E62" s="1">
        <v>2000</v>
      </c>
      <c r="F62" s="1" t="s">
        <v>14</v>
      </c>
      <c r="G62" s="1">
        <v>-0.98393031334601266</v>
      </c>
      <c r="H62" s="1">
        <v>0.96819283542217283</v>
      </c>
      <c r="I62" s="1">
        <v>82.677714000000023</v>
      </c>
      <c r="J62" s="1">
        <v>68.360892319911997</v>
      </c>
      <c r="L62">
        <f>G62</f>
        <v>-0.98393031334601266</v>
      </c>
      <c r="M62">
        <f>-L62</f>
        <v>0.98393031334601266</v>
      </c>
      <c r="N62">
        <f>H62-L62*L62</f>
        <v>7.3973900990176311E-5</v>
      </c>
      <c r="O62">
        <f t="shared" si="3"/>
        <v>3.371516798379396E-5</v>
      </c>
    </row>
    <row r="63" spans="1:15" x14ac:dyDescent="0.25">
      <c r="A63" s="1">
        <v>100</v>
      </c>
      <c r="B63" s="1">
        <v>1000</v>
      </c>
      <c r="C63" s="1">
        <v>1E-8</v>
      </c>
      <c r="D63" s="1">
        <v>0.99</v>
      </c>
      <c r="E63" s="1">
        <v>1000</v>
      </c>
      <c r="F63" s="1" t="s">
        <v>14</v>
      </c>
      <c r="G63" s="1">
        <v>-0.94979406506570629</v>
      </c>
      <c r="H63" s="1">
        <v>0.90277683992490165</v>
      </c>
      <c r="I63" s="1">
        <v>80.505314000000055</v>
      </c>
      <c r="J63" s="1">
        <v>64.814681644001979</v>
      </c>
      <c r="L63">
        <f t="shared" ref="L63:L71" si="18">G63</f>
        <v>-0.94979406506570629</v>
      </c>
      <c r="M63">
        <f t="shared" ref="M63:M71" si="19">-L63</f>
        <v>0.94979406506570629</v>
      </c>
      <c r="N63">
        <f t="shared" ref="N63:N71" si="20">H63-L63*L63</f>
        <v>6.6807389086254165E-4</v>
      </c>
      <c r="O63">
        <f t="shared" si="3"/>
        <v>1.0132073152395891E-4</v>
      </c>
    </row>
    <row r="64" spans="1:15" x14ac:dyDescent="0.25">
      <c r="A64" s="1">
        <v>150</v>
      </c>
      <c r="B64" s="1">
        <v>1000</v>
      </c>
      <c r="C64" s="1">
        <v>1E-8</v>
      </c>
      <c r="D64" s="1">
        <v>0.99</v>
      </c>
      <c r="E64" s="1">
        <v>666</v>
      </c>
      <c r="F64" s="1" t="s">
        <v>14</v>
      </c>
      <c r="G64" s="1">
        <v>-0.92389470149255704</v>
      </c>
      <c r="H64" s="1">
        <v>0.85478068501946325</v>
      </c>
      <c r="I64" s="1">
        <v>80.499745000000004</v>
      </c>
      <c r="J64" s="1">
        <v>64.806255408191006</v>
      </c>
      <c r="L64">
        <f t="shared" si="18"/>
        <v>-0.92389470149255704</v>
      </c>
      <c r="M64">
        <f t="shared" si="19"/>
        <v>0.92389470149255704</v>
      </c>
      <c r="N64">
        <f t="shared" si="20"/>
        <v>1.1992655734421875E-3</v>
      </c>
      <c r="O64">
        <f t="shared" si="3"/>
        <v>1.3575122285910368E-4</v>
      </c>
    </row>
    <row r="65" spans="1:15" x14ac:dyDescent="0.25">
      <c r="A65">
        <v>200</v>
      </c>
      <c r="B65">
        <v>1000</v>
      </c>
      <c r="C65">
        <v>1E-8</v>
      </c>
      <c r="D65">
        <v>0.99</v>
      </c>
      <c r="E65">
        <v>500</v>
      </c>
      <c r="F65" t="s">
        <v>14</v>
      </c>
      <c r="G65">
        <v>-0.93435226464297338</v>
      </c>
      <c r="H65">
        <v>0.87400196149826059</v>
      </c>
      <c r="I65">
        <v>80.668442000000027</v>
      </c>
      <c r="J65">
        <v>65.081644801410008</v>
      </c>
      <c r="L65">
        <f t="shared" si="18"/>
        <v>-0.93435226464297338</v>
      </c>
      <c r="M65">
        <f t="shared" si="19"/>
        <v>0.93435226464297338</v>
      </c>
      <c r="N65">
        <f t="shared" si="20"/>
        <v>9.8780705480761011E-4</v>
      </c>
      <c r="O65">
        <f t="shared" si="3"/>
        <v>1.2320323992085459E-4</v>
      </c>
    </row>
    <row r="66" spans="1:15" x14ac:dyDescent="0.25">
      <c r="A66">
        <v>250</v>
      </c>
      <c r="B66">
        <v>1000</v>
      </c>
      <c r="C66">
        <v>1E-8</v>
      </c>
      <c r="D66">
        <v>0.99</v>
      </c>
      <c r="E66">
        <v>400</v>
      </c>
      <c r="F66" t="s">
        <v>14</v>
      </c>
      <c r="G66">
        <v>-0.92261487769896189</v>
      </c>
      <c r="H66">
        <v>0.85247442891337133</v>
      </c>
      <c r="I66">
        <v>80.441324999999978</v>
      </c>
      <c r="J66">
        <v>64.712910338585019</v>
      </c>
      <c r="L66">
        <f t="shared" si="18"/>
        <v>-0.92261487769896189</v>
      </c>
      <c r="M66">
        <f t="shared" si="19"/>
        <v>0.92261487769896189</v>
      </c>
      <c r="N66">
        <f t="shared" si="20"/>
        <v>1.2562163619008748E-3</v>
      </c>
      <c r="O66">
        <f t="shared" si="3"/>
        <v>1.3893711924289204E-4</v>
      </c>
    </row>
    <row r="67" spans="1:15" x14ac:dyDescent="0.25">
      <c r="A67">
        <v>300</v>
      </c>
      <c r="B67">
        <v>1000</v>
      </c>
      <c r="C67">
        <v>1E-8</v>
      </c>
      <c r="D67">
        <v>0.99</v>
      </c>
      <c r="E67">
        <v>333</v>
      </c>
      <c r="F67" t="s">
        <v>14</v>
      </c>
      <c r="G67">
        <v>-0.9264898979153835</v>
      </c>
      <c r="H67">
        <v>0.85979207797732571</v>
      </c>
      <c r="I67">
        <v>80.35465200000003</v>
      </c>
      <c r="J67">
        <v>64.573526555474004</v>
      </c>
      <c r="L67">
        <f t="shared" si="18"/>
        <v>-0.9264898979153835</v>
      </c>
      <c r="M67">
        <f t="shared" si="19"/>
        <v>0.9264898979153835</v>
      </c>
      <c r="N67">
        <f t="shared" si="20"/>
        <v>1.4085470380679199E-3</v>
      </c>
      <c r="O67">
        <f t="shared" ref="O67:O84" si="21">$P$1*SQRT(N67)/$Q$1</f>
        <v>1.4712000953564028E-4</v>
      </c>
    </row>
    <row r="68" spans="1:15" x14ac:dyDescent="0.25">
      <c r="A68">
        <v>350</v>
      </c>
      <c r="B68">
        <v>1000</v>
      </c>
      <c r="C68">
        <v>1E-8</v>
      </c>
      <c r="D68">
        <v>0.99</v>
      </c>
      <c r="E68">
        <v>285</v>
      </c>
      <c r="F68" t="s">
        <v>14</v>
      </c>
      <c r="G68">
        <v>-0.93163690558788925</v>
      </c>
      <c r="H68">
        <v>0.86892703003453453</v>
      </c>
      <c r="I68">
        <v>80.14702800000002</v>
      </c>
      <c r="J68">
        <v>64.242364455251973</v>
      </c>
      <c r="L68">
        <f t="shared" si="18"/>
        <v>-0.93163690558788925</v>
      </c>
      <c r="M68">
        <f t="shared" si="19"/>
        <v>0.93163690558788925</v>
      </c>
      <c r="N68">
        <f t="shared" si="20"/>
        <v>9.7970618115683639E-4</v>
      </c>
      <c r="O68">
        <f t="shared" si="21"/>
        <v>1.226970132567554E-4</v>
      </c>
    </row>
    <row r="69" spans="1:15" x14ac:dyDescent="0.25">
      <c r="A69">
        <v>400</v>
      </c>
      <c r="B69">
        <v>1000</v>
      </c>
      <c r="C69">
        <v>1E-8</v>
      </c>
      <c r="D69">
        <v>0.99</v>
      </c>
      <c r="E69">
        <v>250</v>
      </c>
      <c r="F69" t="s">
        <v>14</v>
      </c>
      <c r="G69">
        <v>-0.93085529532392075</v>
      </c>
      <c r="H69">
        <v>0.86768850017597932</v>
      </c>
      <c r="I69">
        <v>80.130063999999976</v>
      </c>
      <c r="J69">
        <v>64.211959740382014</v>
      </c>
      <c r="L69">
        <f t="shared" si="18"/>
        <v>-0.93085529532392075</v>
      </c>
      <c r="M69">
        <f t="shared" si="19"/>
        <v>0.93085529532392075</v>
      </c>
      <c r="N69">
        <f t="shared" si="20"/>
        <v>1.1969193433956082E-3</v>
      </c>
      <c r="O69">
        <f t="shared" si="21"/>
        <v>1.3561836674416293E-4</v>
      </c>
    </row>
    <row r="70" spans="1:15" x14ac:dyDescent="0.25">
      <c r="A70">
        <v>450</v>
      </c>
      <c r="B70">
        <v>1000</v>
      </c>
      <c r="C70">
        <v>1E-8</v>
      </c>
      <c r="D70">
        <v>0.99</v>
      </c>
      <c r="E70">
        <v>222</v>
      </c>
      <c r="F70" t="s">
        <v>14</v>
      </c>
      <c r="G70">
        <v>-0.92864687240330002</v>
      </c>
      <c r="H70">
        <v>0.86364440010650023</v>
      </c>
      <c r="I70">
        <v>80.280658000000003</v>
      </c>
      <c r="J70">
        <v>64.457427889058025</v>
      </c>
      <c r="L70">
        <f t="shared" si="18"/>
        <v>-0.92864687240330002</v>
      </c>
      <c r="M70">
        <f t="shared" si="19"/>
        <v>0.92864687240330002</v>
      </c>
      <c r="N70">
        <f t="shared" si="20"/>
        <v>1.2593864820692469E-3</v>
      </c>
      <c r="O70">
        <f t="shared" si="21"/>
        <v>1.3911231591080955E-4</v>
      </c>
    </row>
    <row r="71" spans="1:15" x14ac:dyDescent="0.25">
      <c r="A71">
        <v>500</v>
      </c>
      <c r="B71">
        <v>1000</v>
      </c>
      <c r="C71">
        <v>1E-8</v>
      </c>
      <c r="D71">
        <v>0.99</v>
      </c>
      <c r="E71">
        <v>200</v>
      </c>
      <c r="F71" t="s">
        <v>14</v>
      </c>
      <c r="G71">
        <v>-0.93127221281876005</v>
      </c>
      <c r="H71">
        <v>0.86828066545850857</v>
      </c>
      <c r="I71">
        <v>80.37767199999999</v>
      </c>
      <c r="J71">
        <v>64.613109780882027</v>
      </c>
      <c r="L71">
        <f t="shared" si="18"/>
        <v>-0.93127221281876005</v>
      </c>
      <c r="M71">
        <f t="shared" si="19"/>
        <v>0.93127221281876005</v>
      </c>
      <c r="N71">
        <f t="shared" si="20"/>
        <v>1.0127310901586473E-3</v>
      </c>
      <c r="O71">
        <f t="shared" si="21"/>
        <v>1.2474786981673812E-4</v>
      </c>
    </row>
    <row r="72" spans="1:15" x14ac:dyDescent="0.25">
      <c r="M72">
        <f t="shared" ref="M72:M84" si="22">-G72</f>
        <v>0</v>
      </c>
      <c r="N72">
        <f t="shared" ref="N72:N84" si="23">H72-G72*G72</f>
        <v>0</v>
      </c>
      <c r="O72">
        <f t="shared" si="21"/>
        <v>0</v>
      </c>
    </row>
    <row r="73" spans="1:15" x14ac:dyDescent="0.25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t="s">
        <v>7</v>
      </c>
      <c r="I73" t="s">
        <v>8</v>
      </c>
      <c r="J73" t="s">
        <v>9</v>
      </c>
      <c r="M73" t="e">
        <f t="shared" si="22"/>
        <v>#VALUE!</v>
      </c>
      <c r="N73" t="e">
        <f t="shared" si="23"/>
        <v>#VALUE!</v>
      </c>
      <c r="O73" t="e">
        <f t="shared" si="21"/>
        <v>#VALUE!</v>
      </c>
    </row>
    <row r="74" spans="1:15" x14ac:dyDescent="0.25">
      <c r="A74" s="1">
        <v>50</v>
      </c>
      <c r="B74" s="1">
        <v>1000</v>
      </c>
      <c r="C74" s="1">
        <v>1E-8</v>
      </c>
      <c r="D74" s="1">
        <v>0.99</v>
      </c>
      <c r="E74" s="1">
        <v>2000</v>
      </c>
      <c r="F74" s="1" t="s">
        <v>15</v>
      </c>
      <c r="G74" s="1">
        <v>-106.76112181763072</v>
      </c>
      <c r="H74" s="1">
        <v>11397.937142830033</v>
      </c>
      <c r="I74" s="1">
        <v>88.615747000000027</v>
      </c>
      <c r="J74" s="1">
        <v>78.532570641491034</v>
      </c>
      <c r="L74">
        <f>G74</f>
        <v>-106.76112181763072</v>
      </c>
      <c r="M74">
        <f t="shared" si="22"/>
        <v>106.76112181763072</v>
      </c>
      <c r="N74">
        <f t="shared" si="23"/>
        <v>1.1071046174038202E-5</v>
      </c>
      <c r="O74">
        <f t="shared" si="21"/>
        <v>1.3043087208507831E-5</v>
      </c>
    </row>
    <row r="75" spans="1:15" x14ac:dyDescent="0.25">
      <c r="A75" s="1">
        <v>100</v>
      </c>
      <c r="B75" s="1">
        <v>1000</v>
      </c>
      <c r="C75" s="1">
        <v>1E-8</v>
      </c>
      <c r="D75" s="1">
        <v>0.99</v>
      </c>
      <c r="E75" s="1">
        <v>1000</v>
      </c>
      <c r="F75" s="1" t="s">
        <v>15</v>
      </c>
      <c r="G75" s="1">
        <v>-106.75903620089446</v>
      </c>
      <c r="H75" s="1">
        <v>11397.49183765918</v>
      </c>
      <c r="I75" s="1">
        <v>86.492256000000012</v>
      </c>
      <c r="J75" s="1">
        <v>74.815267526461994</v>
      </c>
      <c r="L75">
        <f t="shared" ref="L75:L83" si="24">G75</f>
        <v>-106.75903620089446</v>
      </c>
      <c r="M75">
        <f t="shared" si="22"/>
        <v>106.75903620089446</v>
      </c>
      <c r="N75">
        <f t="shared" si="23"/>
        <v>2.7115285774925724E-5</v>
      </c>
      <c r="O75">
        <f t="shared" si="21"/>
        <v>2.0412357221345569E-5</v>
      </c>
    </row>
    <row r="76" spans="1:15" x14ac:dyDescent="0.25">
      <c r="A76" s="1">
        <v>150</v>
      </c>
      <c r="B76" s="1">
        <v>1000</v>
      </c>
      <c r="C76" s="1">
        <v>1E-8</v>
      </c>
      <c r="D76" s="1">
        <v>0.99</v>
      </c>
      <c r="E76" s="1">
        <v>666</v>
      </c>
      <c r="F76" s="1" t="s">
        <v>15</v>
      </c>
      <c r="G76" s="1">
        <v>-106.75766757909265</v>
      </c>
      <c r="H76" s="1">
        <v>11397.199652682864</v>
      </c>
      <c r="I76" s="1">
        <v>85.573368000000016</v>
      </c>
      <c r="J76" s="1">
        <v>73.232029127955983</v>
      </c>
      <c r="L76">
        <f t="shared" si="24"/>
        <v>-106.75766757909265</v>
      </c>
      <c r="M76">
        <f t="shared" si="22"/>
        <v>106.75766757909265</v>
      </c>
      <c r="N76">
        <f t="shared" si="23"/>
        <v>6.5754813476814888E-5</v>
      </c>
      <c r="O76">
        <f t="shared" si="21"/>
        <v>3.1787021971397824E-5</v>
      </c>
    </row>
    <row r="77" spans="1:15" x14ac:dyDescent="0.25">
      <c r="A77">
        <v>200</v>
      </c>
      <c r="B77">
        <v>1000</v>
      </c>
      <c r="C77">
        <v>1E-8</v>
      </c>
      <c r="D77">
        <v>0.99</v>
      </c>
      <c r="E77">
        <v>500</v>
      </c>
      <c r="F77" t="s">
        <v>15</v>
      </c>
      <c r="G77">
        <v>-106.75465854138261</v>
      </c>
      <c r="H77">
        <v>11396.557182470793</v>
      </c>
      <c r="I77">
        <v>85.922033999999996</v>
      </c>
      <c r="J77">
        <v>73.836013707673999</v>
      </c>
      <c r="L77">
        <f t="shared" si="24"/>
        <v>-106.75465854138261</v>
      </c>
      <c r="M77">
        <f t="shared" si="22"/>
        <v>106.75465854138261</v>
      </c>
      <c r="N77">
        <f t="shared" si="23"/>
        <v>6.2183597037801519E-5</v>
      </c>
      <c r="O77">
        <f t="shared" si="21"/>
        <v>3.0911778103526702E-5</v>
      </c>
    </row>
    <row r="78" spans="1:15" x14ac:dyDescent="0.25">
      <c r="A78">
        <v>250</v>
      </c>
      <c r="B78">
        <v>1000</v>
      </c>
      <c r="C78">
        <v>1E-8</v>
      </c>
      <c r="D78">
        <v>0.99</v>
      </c>
      <c r="E78">
        <v>400</v>
      </c>
      <c r="F78" t="s">
        <v>15</v>
      </c>
      <c r="G78">
        <v>-106.74533083569136</v>
      </c>
      <c r="H78">
        <v>11394.566055997157</v>
      </c>
      <c r="I78">
        <v>84.684472999999997</v>
      </c>
      <c r="J78">
        <v>71.717808119688968</v>
      </c>
      <c r="L78">
        <f t="shared" si="24"/>
        <v>-106.74533083569136</v>
      </c>
      <c r="M78">
        <f t="shared" si="22"/>
        <v>106.74533083569136</v>
      </c>
      <c r="N78">
        <f t="shared" si="23"/>
        <v>4.007759562227875E-4</v>
      </c>
      <c r="O78">
        <f t="shared" si="21"/>
        <v>7.847600686644193E-5</v>
      </c>
    </row>
    <row r="79" spans="1:15" x14ac:dyDescent="0.25">
      <c r="A79">
        <v>300</v>
      </c>
      <c r="B79">
        <v>1000</v>
      </c>
      <c r="C79">
        <v>1E-8</v>
      </c>
      <c r="D79">
        <v>0.99</v>
      </c>
      <c r="E79">
        <v>333</v>
      </c>
      <c r="F79" t="s">
        <v>15</v>
      </c>
      <c r="G79">
        <v>-106.73443022871501</v>
      </c>
      <c r="H79">
        <v>11392.239341074473</v>
      </c>
      <c r="I79">
        <v>84.382638000000014</v>
      </c>
      <c r="J79">
        <v>71.20674406914803</v>
      </c>
      <c r="L79">
        <f t="shared" si="24"/>
        <v>-106.73443022871501</v>
      </c>
      <c r="M79">
        <f t="shared" si="22"/>
        <v>106.73443022871501</v>
      </c>
      <c r="N79">
        <f t="shared" si="23"/>
        <v>7.4482604031800292E-4</v>
      </c>
      <c r="O79">
        <f t="shared" si="21"/>
        <v>1.0698268488845548E-4</v>
      </c>
    </row>
    <row r="80" spans="1:15" x14ac:dyDescent="0.25">
      <c r="A80">
        <v>350</v>
      </c>
      <c r="B80">
        <v>1000</v>
      </c>
      <c r="C80">
        <v>1E-8</v>
      </c>
      <c r="D80">
        <v>0.99</v>
      </c>
      <c r="E80">
        <v>285</v>
      </c>
      <c r="F80" t="s">
        <v>15</v>
      </c>
      <c r="G80">
        <v>-106.72277121560427</v>
      </c>
      <c r="H80">
        <v>11389.751954046345</v>
      </c>
      <c r="I80">
        <v>84.405444999999986</v>
      </c>
      <c r="J80">
        <v>71.250363197719039</v>
      </c>
      <c r="L80">
        <f t="shared" si="24"/>
        <v>-106.72277121560427</v>
      </c>
      <c r="M80">
        <f t="shared" si="22"/>
        <v>106.72277121560427</v>
      </c>
      <c r="N80">
        <f t="shared" si="23"/>
        <v>2.058108135315706E-3</v>
      </c>
      <c r="O80">
        <f t="shared" si="21"/>
        <v>1.7783619668255185E-4</v>
      </c>
    </row>
    <row r="81" spans="1:15" x14ac:dyDescent="0.25">
      <c r="A81">
        <v>400</v>
      </c>
      <c r="B81">
        <v>1000</v>
      </c>
      <c r="C81">
        <v>1E-8</v>
      </c>
      <c r="D81">
        <v>0.99</v>
      </c>
      <c r="E81">
        <v>250</v>
      </c>
      <c r="F81" t="s">
        <v>15</v>
      </c>
      <c r="G81">
        <v>-106.72577606936336</v>
      </c>
      <c r="H81">
        <v>11390.392744023135</v>
      </c>
      <c r="I81">
        <v>84.108425000000011</v>
      </c>
      <c r="J81">
        <v>70.746205539209015</v>
      </c>
      <c r="L81">
        <f t="shared" si="24"/>
        <v>-106.72577606936336</v>
      </c>
      <c r="M81">
        <f t="shared" si="22"/>
        <v>106.72577606936336</v>
      </c>
      <c r="N81">
        <f t="shared" si="23"/>
        <v>1.4664152404293418E-3</v>
      </c>
      <c r="O81">
        <f t="shared" si="21"/>
        <v>1.5011170224380721E-4</v>
      </c>
    </row>
    <row r="82" spans="1:15" x14ac:dyDescent="0.25">
      <c r="A82">
        <v>450</v>
      </c>
      <c r="B82">
        <v>1000</v>
      </c>
      <c r="C82">
        <v>1E-8</v>
      </c>
      <c r="D82">
        <v>0.99</v>
      </c>
      <c r="E82">
        <v>222</v>
      </c>
      <c r="F82" t="s">
        <v>15</v>
      </c>
      <c r="G82">
        <v>-106.71639573391026</v>
      </c>
      <c r="H82">
        <v>11388.391374030078</v>
      </c>
      <c r="I82">
        <v>84.232581999999951</v>
      </c>
      <c r="J82">
        <v>70.957205364053962</v>
      </c>
      <c r="L82">
        <f t="shared" si="24"/>
        <v>-106.71639573391026</v>
      </c>
      <c r="M82">
        <f t="shared" si="22"/>
        <v>106.71639573391026</v>
      </c>
      <c r="N82">
        <f t="shared" si="23"/>
        <v>2.2555935374839464E-3</v>
      </c>
      <c r="O82">
        <f t="shared" si="21"/>
        <v>1.861729103129489E-4</v>
      </c>
    </row>
    <row r="83" spans="1:15" x14ac:dyDescent="0.25">
      <c r="A83">
        <v>500</v>
      </c>
      <c r="B83">
        <v>1000</v>
      </c>
      <c r="C83">
        <v>1E-8</v>
      </c>
      <c r="D83">
        <v>0.99</v>
      </c>
      <c r="E83">
        <v>200</v>
      </c>
      <c r="F83" t="s">
        <v>15</v>
      </c>
      <c r="G83">
        <v>-106.72354225820735</v>
      </c>
      <c r="H83">
        <v>11389.915813148627</v>
      </c>
      <c r="I83">
        <v>84.539831000000021</v>
      </c>
      <c r="J83">
        <v>71.479350603374982</v>
      </c>
      <c r="L83">
        <f t="shared" si="24"/>
        <v>-106.72354225820735</v>
      </c>
      <c r="M83">
        <f t="shared" si="22"/>
        <v>106.72354225820735</v>
      </c>
      <c r="N83">
        <f t="shared" si="23"/>
        <v>1.3410092578851618E-3</v>
      </c>
      <c r="O83">
        <f t="shared" si="21"/>
        <v>1.4354958955136915E-4</v>
      </c>
    </row>
    <row r="84" spans="1:15" x14ac:dyDescent="0.25">
      <c r="M84">
        <f t="shared" si="22"/>
        <v>0</v>
      </c>
      <c r="N84">
        <f t="shared" si="23"/>
        <v>0</v>
      </c>
      <c r="O84">
        <f t="shared" si="21"/>
        <v>0</v>
      </c>
    </row>
    <row r="85" spans="1:15" x14ac:dyDescent="0.25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t="s">
        <v>7</v>
      </c>
      <c r="I85" t="s">
        <v>8</v>
      </c>
      <c r="J85" t="s">
        <v>9</v>
      </c>
      <c r="M85" t="s">
        <v>17</v>
      </c>
      <c r="N85" t="s">
        <v>18</v>
      </c>
      <c r="O85" t="s">
        <v>19</v>
      </c>
    </row>
    <row r="86" spans="1:15" x14ac:dyDescent="0.25">
      <c r="A86" s="1">
        <v>50</v>
      </c>
      <c r="B86" s="1">
        <v>1000</v>
      </c>
      <c r="C86" s="1">
        <v>1E-8</v>
      </c>
      <c r="D86" s="1">
        <v>0.99</v>
      </c>
      <c r="E86" s="1">
        <v>2000</v>
      </c>
      <c r="F86" s="1" t="s">
        <v>16</v>
      </c>
      <c r="G86" s="1">
        <v>-19.988026663007414</v>
      </c>
      <c r="H86" s="1">
        <v>399.52126291921303</v>
      </c>
      <c r="I86" s="1">
        <v>104.97909400000002</v>
      </c>
      <c r="J86" s="1">
        <v>128.10047707104403</v>
      </c>
      <c r="L86">
        <f>G86</f>
        <v>-19.988026663007414</v>
      </c>
      <c r="M86">
        <f>-L86</f>
        <v>19.988026663007414</v>
      </c>
      <c r="N86">
        <f>H86-L86*L86</f>
        <v>5.3038117755477288E-5</v>
      </c>
      <c r="O86">
        <f>$P$1*SQRT(N86)/$Q$1</f>
        <v>2.8548291239192693E-5</v>
      </c>
    </row>
    <row r="87" spans="1:15" x14ac:dyDescent="0.25">
      <c r="A87" s="1">
        <v>100</v>
      </c>
      <c r="B87" s="1">
        <v>1000</v>
      </c>
      <c r="C87" s="1">
        <v>1E-8</v>
      </c>
      <c r="D87" s="1">
        <v>0.99</v>
      </c>
      <c r="E87" s="1">
        <v>1000</v>
      </c>
      <c r="F87" s="1" t="s">
        <v>16</v>
      </c>
      <c r="G87" s="1">
        <v>-19.983791559542247</v>
      </c>
      <c r="H87" s="1">
        <v>399.35202027988095</v>
      </c>
      <c r="I87" s="1">
        <v>103.23808799999998</v>
      </c>
      <c r="J87" s="1">
        <v>123.96227950396795</v>
      </c>
      <c r="L87">
        <f t="shared" ref="L87:L95" si="25">G87</f>
        <v>-19.983791559542247</v>
      </c>
      <c r="M87">
        <f t="shared" ref="M87:M95" si="26">-L87</f>
        <v>19.983791559542247</v>
      </c>
      <c r="N87">
        <f t="shared" ref="N87:N95" si="27">H87-L87*L87</f>
        <v>9.5184648955637385E-5</v>
      </c>
      <c r="O87">
        <f t="shared" ref="O87:O95" si="28">$P$1*SQRT(N87)/$Q$1</f>
        <v>3.8244547189264848E-5</v>
      </c>
    </row>
    <row r="88" spans="1:15" x14ac:dyDescent="0.25">
      <c r="A88" s="1">
        <v>150</v>
      </c>
      <c r="B88" s="1">
        <v>1000</v>
      </c>
      <c r="C88" s="1">
        <v>1E-8</v>
      </c>
      <c r="D88" s="1">
        <v>0.99</v>
      </c>
      <c r="E88" s="1">
        <v>666</v>
      </c>
      <c r="F88" s="1" t="s">
        <v>16</v>
      </c>
      <c r="G88" s="1">
        <v>-19.947616408443743</v>
      </c>
      <c r="H88" s="1">
        <v>397.90821313465676</v>
      </c>
      <c r="I88" s="1">
        <v>86.210175999999976</v>
      </c>
      <c r="J88" s="1">
        <v>74.328568611025958</v>
      </c>
      <c r="L88">
        <f t="shared" si="25"/>
        <v>-19.947616408443743</v>
      </c>
      <c r="M88">
        <f t="shared" si="26"/>
        <v>19.947616408443743</v>
      </c>
      <c r="N88">
        <f t="shared" si="27"/>
        <v>8.1275624273757785E-4</v>
      </c>
      <c r="O88">
        <f t="shared" si="28"/>
        <v>1.1175480986697046E-4</v>
      </c>
    </row>
    <row r="89" spans="1:15" x14ac:dyDescent="0.25">
      <c r="A89">
        <v>200</v>
      </c>
      <c r="B89">
        <v>1000</v>
      </c>
      <c r="C89">
        <v>1E-8</v>
      </c>
      <c r="D89">
        <v>0.99</v>
      </c>
      <c r="E89">
        <v>500</v>
      </c>
      <c r="F89" t="s">
        <v>16</v>
      </c>
      <c r="G89">
        <v>-19.897018278295072</v>
      </c>
      <c r="H89">
        <v>395.89709412544477</v>
      </c>
      <c r="I89">
        <v>85.840154999999967</v>
      </c>
      <c r="J89">
        <v>73.695138859503018</v>
      </c>
      <c r="L89">
        <f t="shared" si="25"/>
        <v>-19.897018278295072</v>
      </c>
      <c r="M89">
        <f t="shared" si="26"/>
        <v>19.897018278295072</v>
      </c>
      <c r="N89">
        <f t="shared" si="27"/>
        <v>5.7577586366051037E-3</v>
      </c>
      <c r="O89">
        <f t="shared" si="28"/>
        <v>2.9744919282715944E-4</v>
      </c>
    </row>
    <row r="90" spans="1:15" x14ac:dyDescent="0.25">
      <c r="A90">
        <v>250</v>
      </c>
      <c r="B90">
        <v>1000</v>
      </c>
      <c r="C90">
        <v>1E-8</v>
      </c>
      <c r="D90">
        <v>0.99</v>
      </c>
      <c r="E90">
        <v>400</v>
      </c>
      <c r="F90" t="s">
        <v>16</v>
      </c>
      <c r="G90">
        <v>-19.888261901976506</v>
      </c>
      <c r="H90">
        <v>395.54775228778738</v>
      </c>
      <c r="I90">
        <v>85.967572000000018</v>
      </c>
      <c r="J90">
        <v>73.916260389961948</v>
      </c>
      <c r="L90">
        <f t="shared" si="25"/>
        <v>-19.888261901976506</v>
      </c>
      <c r="M90">
        <f t="shared" si="26"/>
        <v>19.888261901976506</v>
      </c>
      <c r="N90">
        <f t="shared" si="27"/>
        <v>4.7908061772545807E-3</v>
      </c>
      <c r="O90">
        <f t="shared" si="28"/>
        <v>2.7132534721651937E-4</v>
      </c>
    </row>
    <row r="91" spans="1:15" x14ac:dyDescent="0.25">
      <c r="A91">
        <v>300</v>
      </c>
      <c r="B91">
        <v>1000</v>
      </c>
      <c r="C91">
        <v>1E-8</v>
      </c>
      <c r="D91">
        <v>0.99</v>
      </c>
      <c r="E91">
        <v>333</v>
      </c>
      <c r="F91" t="s">
        <v>16</v>
      </c>
      <c r="G91">
        <v>-19.879820586365938</v>
      </c>
      <c r="H91">
        <v>395.21387280499175</v>
      </c>
      <c r="I91">
        <v>85.816693999999998</v>
      </c>
      <c r="J91">
        <v>73.652689384563999</v>
      </c>
      <c r="L91">
        <f t="shared" si="25"/>
        <v>-19.879820586365938</v>
      </c>
      <c r="M91">
        <f t="shared" si="26"/>
        <v>19.879820586365938</v>
      </c>
      <c r="N91">
        <f t="shared" si="27"/>
        <v>6.6062588928161858E-3</v>
      </c>
      <c r="O91">
        <f t="shared" si="28"/>
        <v>3.1861327130326922E-4</v>
      </c>
    </row>
    <row r="92" spans="1:15" x14ac:dyDescent="0.25">
      <c r="A92">
        <v>350</v>
      </c>
      <c r="B92">
        <v>1000</v>
      </c>
      <c r="C92">
        <v>1E-8</v>
      </c>
      <c r="D92">
        <v>0.99</v>
      </c>
      <c r="E92">
        <v>285</v>
      </c>
      <c r="F92" t="s">
        <v>16</v>
      </c>
      <c r="G92">
        <v>-19.867973861345469</v>
      </c>
      <c r="H92">
        <v>394.74396060203327</v>
      </c>
      <c r="I92">
        <v>85.474879999999985</v>
      </c>
      <c r="J92">
        <v>73.071495637135953</v>
      </c>
      <c r="L92">
        <f t="shared" si="25"/>
        <v>-19.867973861345469</v>
      </c>
      <c r="M92">
        <f t="shared" si="26"/>
        <v>19.867973861345469</v>
      </c>
      <c r="N92">
        <f t="shared" si="27"/>
        <v>7.575246926478485E-3</v>
      </c>
      <c r="O92">
        <f t="shared" si="28"/>
        <v>3.4118070632882947E-4</v>
      </c>
    </row>
    <row r="93" spans="1:15" x14ac:dyDescent="0.25">
      <c r="A93">
        <v>400</v>
      </c>
      <c r="B93">
        <v>1000</v>
      </c>
      <c r="C93">
        <v>1E-8</v>
      </c>
      <c r="D93">
        <v>0.99</v>
      </c>
      <c r="E93">
        <v>250</v>
      </c>
      <c r="F93" t="s">
        <v>16</v>
      </c>
      <c r="G93">
        <v>-19.882635829852003</v>
      </c>
      <c r="H93">
        <v>395.32664427860755</v>
      </c>
      <c r="I93">
        <v>99.056833999999995</v>
      </c>
      <c r="J93">
        <v>111.93278964735204</v>
      </c>
      <c r="L93">
        <f t="shared" si="25"/>
        <v>-19.882635829852003</v>
      </c>
      <c r="M93">
        <f t="shared" si="26"/>
        <v>19.882635829852003</v>
      </c>
      <c r="N93">
        <f t="shared" si="27"/>
        <v>7.4367360929272763E-3</v>
      </c>
      <c r="O93">
        <f t="shared" si="28"/>
        <v>3.3804712910829123E-4</v>
      </c>
    </row>
    <row r="94" spans="1:15" x14ac:dyDescent="0.25">
      <c r="A94">
        <v>450</v>
      </c>
      <c r="B94">
        <v>1000</v>
      </c>
      <c r="C94">
        <v>1E-8</v>
      </c>
      <c r="D94">
        <v>0.99</v>
      </c>
      <c r="E94">
        <v>222</v>
      </c>
      <c r="F94" t="s">
        <v>16</v>
      </c>
      <c r="G94">
        <v>-19.886373904260505</v>
      </c>
      <c r="H94">
        <v>395.47271244856557</v>
      </c>
      <c r="I94">
        <v>133.62149800000003</v>
      </c>
      <c r="J94">
        <v>215.15875592501996</v>
      </c>
      <c r="L94">
        <f t="shared" si="25"/>
        <v>-19.886373904260505</v>
      </c>
      <c r="M94">
        <f t="shared" si="26"/>
        <v>19.886373904260505</v>
      </c>
      <c r="N94">
        <f t="shared" si="27"/>
        <v>4.8453885123649343E-3</v>
      </c>
      <c r="O94">
        <f t="shared" si="28"/>
        <v>2.7286659384469274E-4</v>
      </c>
    </row>
    <row r="95" spans="1:15" x14ac:dyDescent="0.25">
      <c r="A95">
        <v>500</v>
      </c>
      <c r="B95">
        <v>1000</v>
      </c>
      <c r="C95">
        <v>1E-8</v>
      </c>
      <c r="D95">
        <v>0.99</v>
      </c>
      <c r="E95">
        <v>200</v>
      </c>
      <c r="F95" t="s">
        <v>16</v>
      </c>
      <c r="G95">
        <v>-19.851676468230938</v>
      </c>
      <c r="H95">
        <v>394.09817022300592</v>
      </c>
      <c r="I95">
        <v>170.88167900000002</v>
      </c>
      <c r="J95">
        <v>335.86120987650497</v>
      </c>
      <c r="L95">
        <f t="shared" si="25"/>
        <v>-19.851676468230938</v>
      </c>
      <c r="M95">
        <f t="shared" si="26"/>
        <v>19.851676468230938</v>
      </c>
      <c r="N95">
        <f t="shared" si="27"/>
        <v>9.1116236919788207E-3</v>
      </c>
      <c r="O95">
        <f t="shared" si="28"/>
        <v>3.741829155645984E-4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2025-03-28T16:37:48Z</dcterms:modified>
</cp:coreProperties>
</file>