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1" i="1" l="1"/>
  <c r="M71" i="1"/>
  <c r="N70" i="1"/>
  <c r="M70" i="1"/>
  <c r="N69" i="1"/>
  <c r="M69" i="1"/>
  <c r="N68" i="1"/>
  <c r="M68" i="1"/>
  <c r="N67" i="1"/>
  <c r="M67" i="1"/>
  <c r="N66" i="1"/>
  <c r="O66" i="1" s="1"/>
  <c r="M66" i="1"/>
  <c r="N65" i="1"/>
  <c r="M65" i="1"/>
  <c r="N64" i="1"/>
  <c r="M64" i="1"/>
  <c r="N63" i="1"/>
  <c r="M63" i="1"/>
  <c r="N62" i="1"/>
  <c r="O62" i="1" s="1"/>
  <c r="M62" i="1"/>
  <c r="N59" i="1"/>
  <c r="O59" i="1" s="1"/>
  <c r="M59" i="1"/>
  <c r="N58" i="1"/>
  <c r="M58" i="1"/>
  <c r="N57" i="1"/>
  <c r="M57" i="1"/>
  <c r="N56" i="1"/>
  <c r="M56" i="1"/>
  <c r="N55" i="1"/>
  <c r="M55" i="1"/>
  <c r="N54" i="1"/>
  <c r="M54" i="1"/>
  <c r="N53" i="1"/>
  <c r="O53" i="1" s="1"/>
  <c r="M53" i="1"/>
  <c r="N52" i="1"/>
  <c r="O52" i="1" s="1"/>
  <c r="M52" i="1"/>
  <c r="N51" i="1"/>
  <c r="M51" i="1"/>
  <c r="N50" i="1"/>
  <c r="M50" i="1"/>
  <c r="N47" i="1"/>
  <c r="M47" i="1"/>
  <c r="N46" i="1"/>
  <c r="M46" i="1"/>
  <c r="N45" i="1"/>
  <c r="M45" i="1"/>
  <c r="N44" i="1"/>
  <c r="O44" i="1" s="1"/>
  <c r="M44" i="1"/>
  <c r="N43" i="1"/>
  <c r="O43" i="1" s="1"/>
  <c r="M43" i="1"/>
  <c r="N42" i="1"/>
  <c r="O42" i="1" s="1"/>
  <c r="M42" i="1"/>
  <c r="N41" i="1"/>
  <c r="M41" i="1"/>
  <c r="N40" i="1"/>
  <c r="M40" i="1"/>
  <c r="N39" i="1"/>
  <c r="M39" i="1"/>
  <c r="N38" i="1"/>
  <c r="M38" i="1"/>
  <c r="N35" i="1"/>
  <c r="M35" i="1"/>
  <c r="N34" i="1"/>
  <c r="M34" i="1"/>
  <c r="N33" i="1"/>
  <c r="M33" i="1"/>
  <c r="N32" i="1"/>
  <c r="M32" i="1"/>
  <c r="N31" i="1"/>
  <c r="O31" i="1" s="1"/>
  <c r="M31" i="1"/>
  <c r="N30" i="1"/>
  <c r="O30" i="1" s="1"/>
  <c r="M30" i="1"/>
  <c r="N29" i="1"/>
  <c r="M29" i="1"/>
  <c r="N28" i="1"/>
  <c r="M28" i="1"/>
  <c r="N27" i="1"/>
  <c r="O27" i="1" s="1"/>
  <c r="M27" i="1"/>
  <c r="N26" i="1"/>
  <c r="O26" i="1" s="1"/>
  <c r="M26" i="1"/>
  <c r="N23" i="1"/>
  <c r="M23" i="1"/>
  <c r="N22" i="1"/>
  <c r="O22" i="1" s="1"/>
  <c r="M22" i="1"/>
  <c r="N21" i="1"/>
  <c r="M21" i="1"/>
  <c r="N20" i="1"/>
  <c r="M20" i="1"/>
  <c r="N19" i="1"/>
  <c r="M19" i="1"/>
  <c r="N18" i="1"/>
  <c r="O18" i="1" s="1"/>
  <c r="M18" i="1"/>
  <c r="N17" i="1"/>
  <c r="M17" i="1"/>
  <c r="N16" i="1"/>
  <c r="M16" i="1"/>
  <c r="N15" i="1"/>
  <c r="M15" i="1"/>
  <c r="N14" i="1"/>
  <c r="O14" i="1" s="1"/>
  <c r="M14" i="1"/>
  <c r="M3" i="1"/>
  <c r="N3" i="1"/>
  <c r="O3" i="1" s="1"/>
  <c r="M4" i="1"/>
  <c r="N4" i="1"/>
  <c r="O4" i="1" s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O11" i="1" s="1"/>
  <c r="N2" i="1"/>
  <c r="O2" i="1" s="1"/>
  <c r="M2" i="1"/>
  <c r="O5" i="1"/>
  <c r="O6" i="1"/>
  <c r="O7" i="1"/>
  <c r="O8" i="1"/>
  <c r="O9" i="1"/>
  <c r="O10" i="1"/>
  <c r="M12" i="1"/>
  <c r="N12" i="1"/>
  <c r="O12" i="1"/>
  <c r="M13" i="1"/>
  <c r="N13" i="1"/>
  <c r="O13" i="1"/>
  <c r="O15" i="1"/>
  <c r="O16" i="1"/>
  <c r="O17" i="1"/>
  <c r="O19" i="1"/>
  <c r="O20" i="1"/>
  <c r="O21" i="1"/>
  <c r="O23" i="1"/>
  <c r="M24" i="1"/>
  <c r="N24" i="1"/>
  <c r="O24" i="1"/>
  <c r="M25" i="1"/>
  <c r="N25" i="1"/>
  <c r="O25" i="1"/>
  <c r="O28" i="1"/>
  <c r="O29" i="1"/>
  <c r="O32" i="1"/>
  <c r="O33" i="1"/>
  <c r="O34" i="1"/>
  <c r="O35" i="1"/>
  <c r="M36" i="1"/>
  <c r="N36" i="1"/>
  <c r="O36" i="1"/>
  <c r="M37" i="1"/>
  <c r="N37" i="1"/>
  <c r="O37" i="1"/>
  <c r="O38" i="1"/>
  <c r="O39" i="1"/>
  <c r="O40" i="1"/>
  <c r="O41" i="1"/>
  <c r="O45" i="1"/>
  <c r="O46" i="1"/>
  <c r="O47" i="1"/>
  <c r="M48" i="1"/>
  <c r="N48" i="1"/>
  <c r="O48" i="1"/>
  <c r="M49" i="1"/>
  <c r="N49" i="1"/>
  <c r="O49" i="1"/>
  <c r="O50" i="1"/>
  <c r="O51" i="1"/>
  <c r="O54" i="1"/>
  <c r="O55" i="1"/>
  <c r="O56" i="1"/>
  <c r="O57" i="1"/>
  <c r="O58" i="1"/>
  <c r="M60" i="1"/>
  <c r="N60" i="1"/>
  <c r="O60" i="1"/>
  <c r="M61" i="1"/>
  <c r="N61" i="1"/>
  <c r="O61" i="1"/>
  <c r="O63" i="1"/>
  <c r="O64" i="1"/>
  <c r="O65" i="1"/>
  <c r="O67" i="1"/>
  <c r="O68" i="1"/>
  <c r="O69" i="1"/>
  <c r="O70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L16" i="1" l="1"/>
  <c r="L15" i="1"/>
  <c r="L14" i="1"/>
  <c r="L71" i="1"/>
  <c r="L70" i="1"/>
  <c r="L69" i="1"/>
  <c r="L68" i="1"/>
  <c r="L67" i="1"/>
  <c r="L66" i="1"/>
  <c r="L65" i="1"/>
  <c r="L64" i="1"/>
  <c r="L63" i="1"/>
  <c r="L62" i="1"/>
  <c r="L59" i="1"/>
  <c r="L58" i="1"/>
  <c r="L57" i="1"/>
  <c r="L56" i="1"/>
  <c r="L55" i="1"/>
  <c r="L54" i="1"/>
  <c r="L53" i="1"/>
  <c r="L52" i="1"/>
  <c r="L51" i="1"/>
  <c r="L50" i="1"/>
  <c r="L47" i="1"/>
  <c r="L46" i="1"/>
  <c r="L45" i="1"/>
  <c r="L44" i="1"/>
  <c r="L43" i="1"/>
  <c r="L42" i="1"/>
  <c r="L41" i="1"/>
  <c r="L40" i="1"/>
  <c r="L39" i="1"/>
  <c r="L38" i="1"/>
  <c r="L35" i="1"/>
  <c r="L34" i="1"/>
  <c r="L33" i="1"/>
  <c r="L32" i="1"/>
  <c r="L31" i="1"/>
  <c r="L30" i="1"/>
  <c r="L29" i="1"/>
  <c r="L28" i="1"/>
  <c r="L27" i="1"/>
  <c r="L26" i="1"/>
  <c r="L23" i="1"/>
  <c r="L22" i="1"/>
  <c r="L21" i="1"/>
  <c r="L20" i="1"/>
  <c r="L19" i="1"/>
  <c r="L18" i="1"/>
  <c r="L17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<sst xmlns="http://schemas.openxmlformats.org/spreadsheetml/2006/main" count="163" uniqueCount="20">
  <si>
    <t>numberOfIndividums</t>
  </si>
  <si>
    <t>numberLives</t>
  </si>
  <si>
    <t>textFunction</t>
  </si>
  <si>
    <t>mBest</t>
  </si>
  <si>
    <t>laBest</t>
  </si>
  <si>
    <t>mTime</t>
  </si>
  <si>
    <t>laTime</t>
  </si>
  <si>
    <t>BenchRastriginFunctionx10</t>
  </si>
  <si>
    <t>crossoverRate</t>
  </si>
  <si>
    <t>mutationSteps</t>
  </si>
  <si>
    <t>chanceMutations</t>
  </si>
  <si>
    <t>BenchRozenbrokx10</t>
  </si>
  <si>
    <t>BenchMultiFunctionx10</t>
  </si>
  <si>
    <t>BenchShafferaFunctionx10</t>
  </si>
  <si>
    <t>BenchKornFunctionx10</t>
  </si>
  <si>
    <t>BenchBirdFunctionx10</t>
  </si>
  <si>
    <t>BenchEkliFunctionx10</t>
  </si>
  <si>
    <t>M</t>
  </si>
  <si>
    <t>D</t>
  </si>
  <si>
    <t>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</si>
</sst>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tabSelected="1" topLeftCell="G1" workbookViewId="0">
      <selection activeCell="O26" sqref="O26:O35"/>
    </sheetView>
  </sheetViews>
  <sheetFormatPr defaultRowHeight="15" x14ac:dyDescent="0.25"/>
  <cols>
    <col min="1" max="5" width="7.140625" customWidth="1"/>
    <col min="6" max="6" width="25.28515625" bestFit="1" customWidth="1"/>
    <col min="7" max="8" width="12" bestFit="1" customWidth="1"/>
    <col min="9" max="9" width="11" bestFit="1" customWidth="1"/>
    <col min="10" max="10" width="12" bestFit="1" customWidth="1"/>
    <col min="12" max="12" width="12.7109375" bestFit="1" customWidth="1"/>
    <col min="14" max="14" width="12" bestFit="1" customWidth="1"/>
  </cols>
  <sheetData>
    <row r="1" spans="1:17" x14ac:dyDescent="0.25">
      <c r="A1" t="s">
        <v>0</v>
      </c>
      <c r="B1" t="s">
        <v>8</v>
      </c>
      <c r="C1" t="s">
        <v>9</v>
      </c>
      <c r="D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M1" t="s">
        <v>17</v>
      </c>
      <c r="N1" t="s">
        <v>18</v>
      </c>
      <c r="O1" t="s">
        <v>19</v>
      </c>
      <c r="P1">
        <v>1.96</v>
      </c>
      <c r="Q1">
        <v>500</v>
      </c>
    </row>
    <row r="2" spans="1:17" x14ac:dyDescent="0.25">
      <c r="A2">
        <v>50</v>
      </c>
      <c r="B2">
        <v>0.5</v>
      </c>
      <c r="C2">
        <v>150</v>
      </c>
      <c r="D2">
        <v>0.9</v>
      </c>
      <c r="E2">
        <v>2000</v>
      </c>
      <c r="F2" t="s">
        <v>16</v>
      </c>
      <c r="G2">
        <v>-19.999914077329112</v>
      </c>
      <c r="H2">
        <v>399.99656312120345</v>
      </c>
      <c r="I2">
        <v>303.93543900000003</v>
      </c>
      <c r="J2">
        <v>923.78782354094676</v>
      </c>
      <c r="L2">
        <f>G2</f>
        <v>-19.999914077329112</v>
      </c>
      <c r="M2">
        <f>-L2</f>
        <v>19.999914077329112</v>
      </c>
      <c r="N2">
        <f>H2-L2*L2</f>
        <v>2.0656273136410164E-8</v>
      </c>
      <c r="O2">
        <f>$P$1*SQRT(N2)/$Q$1</f>
        <v>5.6339378371023329E-7</v>
      </c>
    </row>
    <row r="3" spans="1:17" x14ac:dyDescent="0.25">
      <c r="A3">
        <v>100</v>
      </c>
      <c r="B3">
        <v>0.5</v>
      </c>
      <c r="C3">
        <v>150</v>
      </c>
      <c r="D3">
        <v>0.9</v>
      </c>
      <c r="E3">
        <v>1000</v>
      </c>
      <c r="F3" t="s">
        <v>16</v>
      </c>
      <c r="G3">
        <v>-19.999901538213265</v>
      </c>
      <c r="H3">
        <v>399.99606158131331</v>
      </c>
      <c r="I3">
        <v>303.31886500000013</v>
      </c>
      <c r="J3">
        <v>920.05014893813086</v>
      </c>
      <c r="L3">
        <f>(G3*500-G2)/500</f>
        <v>-19.959901710058606</v>
      </c>
      <c r="M3">
        <f t="shared" ref="M3:M11" si="0">-L3</f>
        <v>19.959901710058606</v>
      </c>
      <c r="N3">
        <f t="shared" ref="N3:N11" si="1">H3-L3*L3</f>
        <v>1.5983853061128457</v>
      </c>
      <c r="O3">
        <f t="shared" ref="O3:O66" si="2">$P$1*SQRT(N3)/$Q$1</f>
        <v>4.9559487454827892E-3</v>
      </c>
    </row>
    <row r="4" spans="1:17" x14ac:dyDescent="0.25">
      <c r="A4">
        <v>150</v>
      </c>
      <c r="B4">
        <v>0.5</v>
      </c>
      <c r="C4">
        <v>150</v>
      </c>
      <c r="D4">
        <v>0.9</v>
      </c>
      <c r="E4">
        <v>666</v>
      </c>
      <c r="F4" t="s">
        <v>16</v>
      </c>
      <c r="G4">
        <v>-19.99996645067635</v>
      </c>
      <c r="H4">
        <v>399.99865803061067</v>
      </c>
      <c r="I4">
        <v>303.3230890000001</v>
      </c>
      <c r="J4">
        <v>920.07497407225299</v>
      </c>
      <c r="L4">
        <f t="shared" ref="L4:L11" si="3">(G4*500-G3)/500</f>
        <v>-19.959966647599927</v>
      </c>
      <c r="M4">
        <f t="shared" si="0"/>
        <v>19.959966647599927</v>
      </c>
      <c r="N4">
        <f t="shared" si="1"/>
        <v>1.5983894573092243</v>
      </c>
      <c r="O4">
        <f t="shared" si="2"/>
        <v>4.9559551810722082E-3</v>
      </c>
    </row>
    <row r="5" spans="1:17" x14ac:dyDescent="0.25">
      <c r="A5">
        <v>200</v>
      </c>
      <c r="B5">
        <v>0.5</v>
      </c>
      <c r="C5">
        <v>150</v>
      </c>
      <c r="D5">
        <v>0.9</v>
      </c>
      <c r="E5">
        <v>500</v>
      </c>
      <c r="F5" t="s">
        <v>16</v>
      </c>
      <c r="G5">
        <v>-19.999968314172452</v>
      </c>
      <c r="H5">
        <v>399.99873257294394</v>
      </c>
      <c r="I5">
        <v>303.19133300000004</v>
      </c>
      <c r="J5">
        <v>919.27838463371518</v>
      </c>
      <c r="L5">
        <f t="shared" si="3"/>
        <v>-19.9599683812711</v>
      </c>
      <c r="M5">
        <f t="shared" si="0"/>
        <v>19.9599683812711</v>
      </c>
      <c r="N5">
        <f t="shared" si="1"/>
        <v>1.5983947916018906</v>
      </c>
      <c r="O5">
        <f t="shared" si="2"/>
        <v>4.9559634508005903E-3</v>
      </c>
    </row>
    <row r="6" spans="1:17" x14ac:dyDescent="0.25">
      <c r="A6">
        <v>250</v>
      </c>
      <c r="B6">
        <v>0.5</v>
      </c>
      <c r="C6">
        <v>150</v>
      </c>
      <c r="D6">
        <v>0.9</v>
      </c>
      <c r="E6">
        <v>400</v>
      </c>
      <c r="F6" t="s">
        <v>16</v>
      </c>
      <c r="G6">
        <v>-19.999977126331828</v>
      </c>
      <c r="H6">
        <v>399.99908505467067</v>
      </c>
      <c r="I6">
        <v>303.40364599999992</v>
      </c>
      <c r="J6">
        <v>920.56651567763163</v>
      </c>
      <c r="L6">
        <f t="shared" si="3"/>
        <v>-19.959977189703483</v>
      </c>
      <c r="M6">
        <f t="shared" si="0"/>
        <v>19.959977189703483</v>
      </c>
      <c r="N6">
        <f t="shared" si="1"/>
        <v>1.5983956411873237</v>
      </c>
      <c r="O6">
        <f t="shared" si="2"/>
        <v>4.955964767907545E-3</v>
      </c>
    </row>
    <row r="7" spans="1:17" x14ac:dyDescent="0.25">
      <c r="A7">
        <v>300</v>
      </c>
      <c r="B7">
        <v>0.5</v>
      </c>
      <c r="C7">
        <v>150</v>
      </c>
      <c r="D7">
        <v>0.9</v>
      </c>
      <c r="E7">
        <v>333</v>
      </c>
      <c r="F7" t="s">
        <v>16</v>
      </c>
      <c r="G7">
        <v>-19.999978124393678</v>
      </c>
      <c r="H7">
        <v>399.99912497787011</v>
      </c>
      <c r="I7">
        <v>302.895419</v>
      </c>
      <c r="J7">
        <v>917.48076198192894</v>
      </c>
      <c r="L7">
        <f t="shared" si="3"/>
        <v>-19.959978170141014</v>
      </c>
      <c r="M7">
        <f t="shared" si="0"/>
        <v>19.959978170141014</v>
      </c>
      <c r="N7">
        <f t="shared" si="1"/>
        <v>1.5983964253642853</v>
      </c>
      <c r="O7">
        <f t="shared" si="2"/>
        <v>4.9559659836118479E-3</v>
      </c>
    </row>
    <row r="8" spans="1:17" x14ac:dyDescent="0.25">
      <c r="A8">
        <v>350</v>
      </c>
      <c r="B8">
        <v>0.5</v>
      </c>
      <c r="C8">
        <v>150</v>
      </c>
      <c r="D8">
        <v>0.9</v>
      </c>
      <c r="E8">
        <v>285</v>
      </c>
      <c r="F8" t="s">
        <v>16</v>
      </c>
      <c r="G8">
        <v>-19.999983142039298</v>
      </c>
      <c r="H8">
        <v>399.9993256829116</v>
      </c>
      <c r="I8">
        <v>302.65448800000007</v>
      </c>
      <c r="J8">
        <v>916.02975550020051</v>
      </c>
      <c r="L8">
        <f t="shared" si="3"/>
        <v>-19.959983185790513</v>
      </c>
      <c r="M8">
        <f t="shared" si="0"/>
        <v>19.959983185790513</v>
      </c>
      <c r="N8">
        <f t="shared" si="1"/>
        <v>1.5983969058715957</v>
      </c>
      <c r="O8">
        <f t="shared" si="2"/>
        <v>4.9559667285389722E-3</v>
      </c>
    </row>
    <row r="9" spans="1:17" x14ac:dyDescent="0.25">
      <c r="A9">
        <v>400</v>
      </c>
      <c r="B9">
        <v>0.5</v>
      </c>
      <c r="C9">
        <v>150</v>
      </c>
      <c r="D9">
        <v>0.9</v>
      </c>
      <c r="E9">
        <v>250</v>
      </c>
      <c r="F9" t="s">
        <v>16</v>
      </c>
      <c r="G9">
        <v>-19.999987392907556</v>
      </c>
      <c r="H9">
        <v>399.99949571672704</v>
      </c>
      <c r="I9">
        <v>303.21536700000001</v>
      </c>
      <c r="J9">
        <v>919.41855749070271</v>
      </c>
      <c r="L9">
        <f t="shared" si="3"/>
        <v>-19.959987426623478</v>
      </c>
      <c r="M9">
        <f t="shared" si="0"/>
        <v>19.959987426623478</v>
      </c>
      <c r="N9">
        <f t="shared" si="1"/>
        <v>1.5983976457596896</v>
      </c>
      <c r="O9">
        <f t="shared" si="2"/>
        <v>4.9559678755820942E-3</v>
      </c>
    </row>
    <row r="10" spans="1:17" x14ac:dyDescent="0.25">
      <c r="A10">
        <v>450</v>
      </c>
      <c r="B10">
        <v>0.5</v>
      </c>
      <c r="C10">
        <v>150</v>
      </c>
      <c r="D10">
        <v>0.9</v>
      </c>
      <c r="E10">
        <v>222</v>
      </c>
      <c r="F10" t="s">
        <v>16</v>
      </c>
      <c r="G10">
        <v>-19.999985303237239</v>
      </c>
      <c r="H10">
        <v>399.99941213014142</v>
      </c>
      <c r="I10">
        <v>302.92863599999993</v>
      </c>
      <c r="J10">
        <v>917.68449629555175</v>
      </c>
      <c r="L10">
        <f t="shared" si="3"/>
        <v>-19.95998532845142</v>
      </c>
      <c r="M10">
        <f t="shared" si="0"/>
        <v>19.95998532845142</v>
      </c>
      <c r="N10">
        <f t="shared" si="1"/>
        <v>1.5983978181454859</v>
      </c>
      <c r="O10">
        <f t="shared" si="2"/>
        <v>4.9559681428304999E-3</v>
      </c>
    </row>
    <row r="11" spans="1:17" x14ac:dyDescent="0.25">
      <c r="A11">
        <v>500</v>
      </c>
      <c r="B11">
        <v>0.5</v>
      </c>
      <c r="C11">
        <v>150</v>
      </c>
      <c r="D11">
        <v>0.9</v>
      </c>
      <c r="E11">
        <v>200</v>
      </c>
      <c r="F11" t="s">
        <v>16</v>
      </c>
      <c r="G11">
        <v>-19.999985771740775</v>
      </c>
      <c r="H11">
        <v>399.99943087021313</v>
      </c>
      <c r="I11">
        <v>303.02953499999995</v>
      </c>
      <c r="J11">
        <v>918.29474308250724</v>
      </c>
      <c r="L11">
        <f t="shared" si="3"/>
        <v>-19.959985801134302</v>
      </c>
      <c r="M11">
        <f t="shared" si="0"/>
        <v>19.959985801134302</v>
      </c>
      <c r="N11">
        <f t="shared" si="1"/>
        <v>1.5983976887301878</v>
      </c>
      <c r="O11">
        <f t="shared" si="2"/>
        <v>4.9559679421989364E-3</v>
      </c>
    </row>
    <row r="12" spans="1:17" x14ac:dyDescent="0.25">
      <c r="A12">
        <v>500</v>
      </c>
      <c r="M12">
        <f t="shared" ref="M3:M66" si="4">-G12</f>
        <v>0</v>
      </c>
      <c r="N12">
        <f t="shared" ref="N3:N66" si="5">H12-G12*G12</f>
        <v>0</v>
      </c>
      <c r="O12">
        <f t="shared" si="2"/>
        <v>0</v>
      </c>
    </row>
    <row r="13" spans="1:17" x14ac:dyDescent="0.25">
      <c r="A13" t="s">
        <v>0</v>
      </c>
      <c r="B13" t="s">
        <v>8</v>
      </c>
      <c r="C13" t="s">
        <v>9</v>
      </c>
      <c r="D13" t="s">
        <v>10</v>
      </c>
      <c r="E13" t="s">
        <v>1</v>
      </c>
      <c r="F13" t="s">
        <v>2</v>
      </c>
      <c r="G13" t="s">
        <v>3</v>
      </c>
      <c r="H13" t="s">
        <v>4</v>
      </c>
      <c r="I13" t="s">
        <v>5</v>
      </c>
      <c r="J13" t="s">
        <v>6</v>
      </c>
      <c r="M13" t="e">
        <f t="shared" si="4"/>
        <v>#VALUE!</v>
      </c>
      <c r="N13" t="e">
        <f t="shared" si="5"/>
        <v>#VALUE!</v>
      </c>
      <c r="O13" t="e">
        <f t="shared" si="2"/>
        <v>#VALUE!</v>
      </c>
    </row>
    <row r="14" spans="1:17" x14ac:dyDescent="0.25">
      <c r="A14">
        <v>50</v>
      </c>
      <c r="B14">
        <v>0.5</v>
      </c>
      <c r="C14">
        <v>150</v>
      </c>
      <c r="D14">
        <v>0.9</v>
      </c>
      <c r="E14">
        <v>2000</v>
      </c>
      <c r="F14" t="s">
        <v>7</v>
      </c>
      <c r="G14">
        <v>0.30339292802599693</v>
      </c>
      <c r="H14">
        <v>0.22099075289036132</v>
      </c>
      <c r="I14">
        <v>3110.9078209999993</v>
      </c>
      <c r="J14">
        <v>20381.708523618694</v>
      </c>
      <c r="L14">
        <f>G14</f>
        <v>0.30339292802599693</v>
      </c>
      <c r="M14">
        <f>-L14</f>
        <v>-0.30339292802599693</v>
      </c>
      <c r="N14">
        <f>H14-L14*L14</f>
        <v>0.12894348411417356</v>
      </c>
      <c r="O14">
        <f t="shared" si="2"/>
        <v>1.4076210975585855E-3</v>
      </c>
    </row>
    <row r="15" spans="1:17" x14ac:dyDescent="0.25">
      <c r="A15">
        <v>100</v>
      </c>
      <c r="B15">
        <v>0.5</v>
      </c>
      <c r="C15">
        <v>150</v>
      </c>
      <c r="D15">
        <v>0.9</v>
      </c>
      <c r="E15">
        <v>1000</v>
      </c>
      <c r="F15" t="s">
        <v>7</v>
      </c>
      <c r="G15">
        <v>0.11662350804246319</v>
      </c>
      <c r="H15">
        <v>5.238387598030677E-2</v>
      </c>
      <c r="I15">
        <v>5595.1942269999981</v>
      </c>
      <c r="J15">
        <v>32909.308732849429</v>
      </c>
      <c r="L15">
        <f>(G15*500-G14)/500</f>
        <v>0.11601672218641118</v>
      </c>
      <c r="M15">
        <f t="shared" ref="M15:M23" si="6">-L15</f>
        <v>-0.11601672218641118</v>
      </c>
      <c r="N15">
        <f t="shared" ref="N15:N23" si="7">H15-L15*L15</f>
        <v>3.8923996153427856E-2</v>
      </c>
      <c r="O15">
        <f t="shared" si="2"/>
        <v>7.7338327787199656E-4</v>
      </c>
    </row>
    <row r="16" spans="1:17" x14ac:dyDescent="0.25">
      <c r="A16">
        <v>150</v>
      </c>
      <c r="B16">
        <v>0.5</v>
      </c>
      <c r="C16">
        <v>150</v>
      </c>
      <c r="D16">
        <v>0.9</v>
      </c>
      <c r="E16">
        <v>666</v>
      </c>
      <c r="F16" t="s">
        <v>7</v>
      </c>
      <c r="G16">
        <v>5.2268869755867059E-2</v>
      </c>
      <c r="H16">
        <v>9.1161702408404533E-3</v>
      </c>
      <c r="I16">
        <v>7706.1090959999983</v>
      </c>
      <c r="J16">
        <v>42060.159587441194</v>
      </c>
      <c r="L16">
        <f>(G16*500-G15)/500</f>
        <v>5.2035622739782135E-2</v>
      </c>
      <c r="M16">
        <f t="shared" si="6"/>
        <v>-5.2035622739782135E-2</v>
      </c>
      <c r="N16">
        <f t="shared" si="7"/>
        <v>6.4084642069235217E-3</v>
      </c>
      <c r="O16">
        <f t="shared" si="2"/>
        <v>3.1380730455053083E-4</v>
      </c>
    </row>
    <row r="17" spans="1:15" x14ac:dyDescent="0.25">
      <c r="A17">
        <v>200</v>
      </c>
      <c r="B17">
        <v>0.5</v>
      </c>
      <c r="C17">
        <v>150</v>
      </c>
      <c r="D17">
        <v>0.9</v>
      </c>
      <c r="E17">
        <v>500</v>
      </c>
      <c r="F17" t="s">
        <v>7</v>
      </c>
      <c r="G17">
        <v>2.7625818306754507E-2</v>
      </c>
      <c r="H17">
        <v>3.0627304859148535E-3</v>
      </c>
      <c r="I17">
        <v>9649.2574899999836</v>
      </c>
      <c r="J17">
        <v>49617.65433134207</v>
      </c>
      <c r="L17">
        <f t="shared" ref="L17:L23" si="8">(G17*500-G16)/500</f>
        <v>2.7521280567242772E-2</v>
      </c>
      <c r="M17">
        <f t="shared" si="6"/>
        <v>-2.7521280567242772E-2</v>
      </c>
      <c r="N17">
        <f t="shared" si="7"/>
        <v>2.3053096018539588E-3</v>
      </c>
      <c r="O17">
        <f t="shared" si="2"/>
        <v>1.8821346781229201E-4</v>
      </c>
    </row>
    <row r="18" spans="1:15" x14ac:dyDescent="0.25">
      <c r="A18">
        <v>250</v>
      </c>
      <c r="B18">
        <v>0.5</v>
      </c>
      <c r="C18">
        <v>150</v>
      </c>
      <c r="D18">
        <v>0.9</v>
      </c>
      <c r="E18">
        <v>400</v>
      </c>
      <c r="F18" t="s">
        <v>7</v>
      </c>
      <c r="G18">
        <v>1.7768853706538707E-2</v>
      </c>
      <c r="H18">
        <v>1.130042939505049E-3</v>
      </c>
      <c r="I18">
        <v>11591.549043000005</v>
      </c>
      <c r="J18">
        <v>57165.766996382452</v>
      </c>
      <c r="L18">
        <f t="shared" si="8"/>
        <v>1.7713602069925199E-2</v>
      </c>
      <c r="M18">
        <f t="shared" si="6"/>
        <v>-1.7713602069925199E-2</v>
      </c>
      <c r="N18">
        <f t="shared" si="7"/>
        <v>8.1627124121339076E-4</v>
      </c>
      <c r="O18">
        <f t="shared" si="2"/>
        <v>1.119962070830144E-4</v>
      </c>
    </row>
    <row r="19" spans="1:15" x14ac:dyDescent="0.25">
      <c r="A19">
        <v>300</v>
      </c>
      <c r="B19">
        <v>0.5</v>
      </c>
      <c r="C19">
        <v>150</v>
      </c>
      <c r="D19">
        <v>0.9</v>
      </c>
      <c r="E19">
        <v>333</v>
      </c>
      <c r="F19" t="s">
        <v>7</v>
      </c>
      <c r="G19">
        <v>1.1727633286914337E-2</v>
      </c>
      <c r="H19">
        <v>5.1160492627084543E-4</v>
      </c>
      <c r="I19">
        <v>13537.289768000021</v>
      </c>
      <c r="J19">
        <v>64743.951420192963</v>
      </c>
      <c r="L19">
        <f t="shared" si="8"/>
        <v>1.1692095579501259E-2</v>
      </c>
      <c r="M19">
        <f t="shared" si="6"/>
        <v>-1.1692095579501259E-2</v>
      </c>
      <c r="N19">
        <f t="shared" si="7"/>
        <v>3.7489982723065251E-4</v>
      </c>
      <c r="O19">
        <f t="shared" si="2"/>
        <v>7.5900334025332853E-5</v>
      </c>
    </row>
    <row r="20" spans="1:15" x14ac:dyDescent="0.25">
      <c r="A20">
        <v>350</v>
      </c>
      <c r="B20">
        <v>0.5</v>
      </c>
      <c r="C20">
        <v>150</v>
      </c>
      <c r="D20">
        <v>0.9</v>
      </c>
      <c r="E20">
        <v>285</v>
      </c>
      <c r="F20" t="s">
        <v>7</v>
      </c>
      <c r="G20">
        <v>7.9149853541114167E-3</v>
      </c>
      <c r="H20">
        <v>2.5023346635309973E-4</v>
      </c>
      <c r="I20">
        <v>15569.250280000022</v>
      </c>
      <c r="J20">
        <v>73205.613880634846</v>
      </c>
      <c r="L20">
        <f t="shared" si="8"/>
        <v>7.8915300875375873E-3</v>
      </c>
      <c r="M20">
        <f t="shared" si="6"/>
        <v>-7.8915300875375873E-3</v>
      </c>
      <c r="N20">
        <f t="shared" si="7"/>
        <v>1.8795721923058875E-4</v>
      </c>
      <c r="O20">
        <f t="shared" si="2"/>
        <v>5.3742216306967829E-5</v>
      </c>
    </row>
    <row r="21" spans="1:15" x14ac:dyDescent="0.25">
      <c r="A21">
        <v>400</v>
      </c>
      <c r="B21">
        <v>0.5</v>
      </c>
      <c r="C21">
        <v>150</v>
      </c>
      <c r="D21">
        <v>0.9</v>
      </c>
      <c r="E21">
        <v>250</v>
      </c>
      <c r="F21" t="s">
        <v>7</v>
      </c>
      <c r="G21">
        <v>6.5103299685349133E-3</v>
      </c>
      <c r="H21">
        <v>1.652587728080607E-4</v>
      </c>
      <c r="I21">
        <v>17691.22314900003</v>
      </c>
      <c r="J21">
        <v>82302.637202643906</v>
      </c>
      <c r="L21">
        <f t="shared" si="8"/>
        <v>6.4944999978266901E-3</v>
      </c>
      <c r="M21">
        <f t="shared" si="6"/>
        <v>-6.4944999978266901E-3</v>
      </c>
      <c r="N21">
        <f t="shared" si="7"/>
        <v>1.2308024258628984E-4</v>
      </c>
      <c r="O21">
        <f t="shared" si="2"/>
        <v>4.3489081844503962E-5</v>
      </c>
    </row>
    <row r="22" spans="1:15" x14ac:dyDescent="0.25">
      <c r="A22">
        <v>450</v>
      </c>
      <c r="B22">
        <v>0.5</v>
      </c>
      <c r="C22">
        <v>150</v>
      </c>
      <c r="D22">
        <v>0.9</v>
      </c>
      <c r="E22">
        <v>222</v>
      </c>
      <c r="F22" t="s">
        <v>7</v>
      </c>
      <c r="G22">
        <v>5.8053049900182504E-3</v>
      </c>
      <c r="H22">
        <v>1.2396591208837124E-4</v>
      </c>
      <c r="I22">
        <v>19912.155381000048</v>
      </c>
      <c r="J22">
        <v>92316.772244626642</v>
      </c>
      <c r="L22">
        <f t="shared" si="8"/>
        <v>5.7922843300811802E-3</v>
      </c>
      <c r="M22">
        <f t="shared" si="6"/>
        <v>-5.7922843300811802E-3</v>
      </c>
      <c r="N22">
        <f t="shared" si="7"/>
        <v>9.0415354327867253E-5</v>
      </c>
      <c r="O22">
        <f t="shared" si="2"/>
        <v>3.7274099596686959E-5</v>
      </c>
    </row>
    <row r="23" spans="1:15" x14ac:dyDescent="0.25">
      <c r="A23">
        <v>500</v>
      </c>
      <c r="B23">
        <v>0.5</v>
      </c>
      <c r="C23">
        <v>150</v>
      </c>
      <c r="D23">
        <v>0.9</v>
      </c>
      <c r="E23">
        <v>200</v>
      </c>
      <c r="F23" t="s">
        <v>7</v>
      </c>
      <c r="G23">
        <v>4.2840980056595805E-3</v>
      </c>
      <c r="H23">
        <v>7.020224922921908E-5</v>
      </c>
      <c r="I23">
        <v>22015.423812000081</v>
      </c>
      <c r="J23">
        <v>101430.83116097069</v>
      </c>
      <c r="L23">
        <f t="shared" si="8"/>
        <v>4.272487395679544E-3</v>
      </c>
      <c r="M23">
        <f t="shared" si="6"/>
        <v>-4.272487395679544E-3</v>
      </c>
      <c r="N23">
        <f t="shared" si="7"/>
        <v>5.1948100682978506E-5</v>
      </c>
      <c r="O23">
        <f t="shared" si="2"/>
        <v>2.8253412083055046E-5</v>
      </c>
    </row>
    <row r="24" spans="1:15" x14ac:dyDescent="0.25">
      <c r="M24">
        <f t="shared" si="4"/>
        <v>0</v>
      </c>
      <c r="N24">
        <f t="shared" si="5"/>
        <v>0</v>
      </c>
      <c r="O24">
        <f t="shared" si="2"/>
        <v>0</v>
      </c>
    </row>
    <row r="25" spans="1:15" x14ac:dyDescent="0.25">
      <c r="A25" t="s">
        <v>0</v>
      </c>
      <c r="B25" t="s">
        <v>8</v>
      </c>
      <c r="C25" t="s">
        <v>9</v>
      </c>
      <c r="D25" t="s">
        <v>10</v>
      </c>
      <c r="E25" t="s">
        <v>1</v>
      </c>
      <c r="F25" t="s">
        <v>2</v>
      </c>
      <c r="G25" t="s">
        <v>3</v>
      </c>
      <c r="H25" t="s">
        <v>4</v>
      </c>
      <c r="I25" t="s">
        <v>5</v>
      </c>
      <c r="J25" t="s">
        <v>6</v>
      </c>
      <c r="M25" t="e">
        <f t="shared" si="4"/>
        <v>#VALUE!</v>
      </c>
      <c r="N25" t="e">
        <f t="shared" si="5"/>
        <v>#VALUE!</v>
      </c>
      <c r="O25" t="e">
        <f t="shared" si="2"/>
        <v>#VALUE!</v>
      </c>
    </row>
    <row r="26" spans="1:15" x14ac:dyDescent="0.25">
      <c r="A26">
        <v>50</v>
      </c>
      <c r="B26">
        <v>0.5</v>
      </c>
      <c r="C26">
        <v>150</v>
      </c>
      <c r="D26">
        <v>0.9</v>
      </c>
      <c r="E26">
        <v>2000</v>
      </c>
      <c r="F26" t="s">
        <v>11</v>
      </c>
      <c r="G26">
        <v>4.9583563462355588E-2</v>
      </c>
      <c r="H26">
        <v>5.6769414483227761E-3</v>
      </c>
      <c r="I26">
        <v>2243.1763750000005</v>
      </c>
      <c r="J26">
        <v>10359.094145088577</v>
      </c>
      <c r="L26">
        <f>G26</f>
        <v>4.9583563462355588E-2</v>
      </c>
      <c r="M26">
        <f>-L26</f>
        <v>-4.9583563462355588E-2</v>
      </c>
      <c r="N26">
        <f>H26-L26*L26</f>
        <v>3.2184116826973318E-3</v>
      </c>
      <c r="O26">
        <f t="shared" si="2"/>
        <v>2.2238570385930899E-4</v>
      </c>
    </row>
    <row r="27" spans="1:15" x14ac:dyDescent="0.25">
      <c r="A27">
        <v>100</v>
      </c>
      <c r="B27">
        <v>0.5</v>
      </c>
      <c r="C27">
        <v>150</v>
      </c>
      <c r="D27">
        <v>0.9</v>
      </c>
      <c r="E27">
        <v>1000</v>
      </c>
      <c r="F27" t="s">
        <v>11</v>
      </c>
      <c r="G27">
        <v>2.6509008893001909E-2</v>
      </c>
      <c r="H27">
        <v>1.6013692063130633E-3</v>
      </c>
      <c r="I27">
        <v>4565.0099270000001</v>
      </c>
      <c r="J27">
        <v>21374.034405832739</v>
      </c>
      <c r="L27">
        <f>(G27*500-G26)/500</f>
        <v>2.6409841766077198E-2</v>
      </c>
      <c r="M27">
        <f t="shared" ref="M27:M35" si="9">-L27</f>
        <v>-2.6409841766077198E-2</v>
      </c>
      <c r="N27">
        <f t="shared" ref="N27:N35" si="10">H27-L27*L27</f>
        <v>9.0388946420382767E-4</v>
      </c>
      <c r="O27">
        <f t="shared" si="2"/>
        <v>1.1785383770901014E-4</v>
      </c>
    </row>
    <row r="28" spans="1:15" x14ac:dyDescent="0.25">
      <c r="A28">
        <v>150</v>
      </c>
      <c r="B28">
        <v>0.5</v>
      </c>
      <c r="C28">
        <v>150</v>
      </c>
      <c r="D28">
        <v>0.9</v>
      </c>
      <c r="E28">
        <v>666</v>
      </c>
      <c r="F28" t="s">
        <v>11</v>
      </c>
      <c r="G28">
        <v>1.8390141847187787E-2</v>
      </c>
      <c r="H28">
        <v>8.6132251738839372E-4</v>
      </c>
      <c r="I28">
        <v>6977.2996680000024</v>
      </c>
      <c r="J28">
        <v>33270.066481883747</v>
      </c>
      <c r="L28">
        <f t="shared" ref="L28:L35" si="11">(G28*500-G27)/500</f>
        <v>1.8337123829401784E-2</v>
      </c>
      <c r="M28">
        <f t="shared" si="9"/>
        <v>-1.8337123829401784E-2</v>
      </c>
      <c r="N28">
        <f t="shared" si="10"/>
        <v>5.250724070535789E-4</v>
      </c>
      <c r="O28">
        <f t="shared" si="2"/>
        <v>8.9824677209262001E-5</v>
      </c>
    </row>
    <row r="29" spans="1:15" x14ac:dyDescent="0.25">
      <c r="A29">
        <v>200</v>
      </c>
      <c r="B29">
        <v>0.5</v>
      </c>
      <c r="C29">
        <v>150</v>
      </c>
      <c r="D29">
        <v>0.9</v>
      </c>
      <c r="E29">
        <v>500</v>
      </c>
      <c r="F29" t="s">
        <v>11</v>
      </c>
      <c r="G29">
        <v>1.1740466831362338E-2</v>
      </c>
      <c r="H29">
        <v>3.1288824081461786E-4</v>
      </c>
      <c r="I29">
        <v>9207.5891740000152</v>
      </c>
      <c r="J29">
        <v>43506.889698952793</v>
      </c>
      <c r="L29">
        <f t="shared" si="11"/>
        <v>1.1703686547667964E-2</v>
      </c>
      <c r="M29">
        <f t="shared" si="9"/>
        <v>-1.1703686547667964E-2</v>
      </c>
      <c r="N29">
        <f t="shared" si="10"/>
        <v>1.7591196200855379E-4</v>
      </c>
      <c r="O29">
        <f t="shared" si="2"/>
        <v>5.1991668303760379E-5</v>
      </c>
    </row>
    <row r="30" spans="1:15" x14ac:dyDescent="0.25">
      <c r="A30">
        <v>250</v>
      </c>
      <c r="B30">
        <v>0.5</v>
      </c>
      <c r="C30">
        <v>150</v>
      </c>
      <c r="D30">
        <v>0.9</v>
      </c>
      <c r="E30">
        <v>400</v>
      </c>
      <c r="F30" t="s">
        <v>11</v>
      </c>
      <c r="G30">
        <v>1.0481887005383259E-2</v>
      </c>
      <c r="H30">
        <v>2.7050528262580583E-4</v>
      </c>
      <c r="I30">
        <v>11667.332170000032</v>
      </c>
      <c r="J30">
        <v>55899.661496675639</v>
      </c>
      <c r="L30">
        <f t="shared" si="11"/>
        <v>1.0458406071720534E-2</v>
      </c>
      <c r="M30">
        <f t="shared" si="9"/>
        <v>-1.0458406071720534E-2</v>
      </c>
      <c r="N30">
        <f t="shared" si="10"/>
        <v>1.6112702506480489E-4</v>
      </c>
      <c r="O30">
        <f t="shared" si="2"/>
        <v>4.9758841605847479E-5</v>
      </c>
    </row>
    <row r="31" spans="1:15" x14ac:dyDescent="0.25">
      <c r="A31">
        <v>300</v>
      </c>
      <c r="B31">
        <v>0.5</v>
      </c>
      <c r="C31">
        <v>150</v>
      </c>
      <c r="D31">
        <v>0.9</v>
      </c>
      <c r="E31">
        <v>333</v>
      </c>
      <c r="F31" t="s">
        <v>11</v>
      </c>
      <c r="G31">
        <v>7.8384125182189845E-3</v>
      </c>
      <c r="H31">
        <v>1.2621050749730801E-4</v>
      </c>
      <c r="I31">
        <v>14556.09896500003</v>
      </c>
      <c r="J31">
        <v>73023.224590613303</v>
      </c>
      <c r="L31">
        <f t="shared" si="11"/>
        <v>7.817448744208217E-3</v>
      </c>
      <c r="M31">
        <f t="shared" si="9"/>
        <v>-7.817448744208217E-3</v>
      </c>
      <c r="N31">
        <f t="shared" si="10"/>
        <v>6.5098002628985387E-5</v>
      </c>
      <c r="O31">
        <f t="shared" si="2"/>
        <v>3.1627866630521273E-5</v>
      </c>
    </row>
    <row r="32" spans="1:15" x14ac:dyDescent="0.25">
      <c r="A32">
        <v>350</v>
      </c>
      <c r="B32">
        <v>0.5</v>
      </c>
      <c r="C32">
        <v>150</v>
      </c>
      <c r="D32">
        <v>0.9</v>
      </c>
      <c r="E32">
        <v>285</v>
      </c>
      <c r="F32" t="s">
        <v>11</v>
      </c>
      <c r="G32">
        <v>6.8912306106107667E-3</v>
      </c>
      <c r="H32">
        <v>1.0324992771861698E-4</v>
      </c>
      <c r="I32">
        <v>17016.19305700003</v>
      </c>
      <c r="J32">
        <v>85447.859863435704</v>
      </c>
      <c r="L32">
        <f t="shared" si="11"/>
        <v>6.8755537855743282E-3</v>
      </c>
      <c r="M32">
        <f t="shared" si="9"/>
        <v>-6.8755537855743282E-3</v>
      </c>
      <c r="N32">
        <f t="shared" si="10"/>
        <v>5.59766878602915E-5</v>
      </c>
      <c r="O32">
        <f t="shared" si="2"/>
        <v>2.9328487453947965E-5</v>
      </c>
    </row>
    <row r="33" spans="1:15" x14ac:dyDescent="0.25">
      <c r="A33">
        <v>400</v>
      </c>
      <c r="B33">
        <v>0.5</v>
      </c>
      <c r="C33">
        <v>150</v>
      </c>
      <c r="D33">
        <v>0.9</v>
      </c>
      <c r="E33">
        <v>250</v>
      </c>
      <c r="F33" t="s">
        <v>11</v>
      </c>
      <c r="G33">
        <v>6.296236415990716E-3</v>
      </c>
      <c r="H33">
        <v>8.8298766403250922E-5</v>
      </c>
      <c r="I33">
        <v>2471.268414000001</v>
      </c>
      <c r="J33">
        <v>12430.332287381201</v>
      </c>
      <c r="L33">
        <f t="shared" si="11"/>
        <v>6.2824539547694947E-3</v>
      </c>
      <c r="M33">
        <f t="shared" si="9"/>
        <v>-6.2824539547694947E-3</v>
      </c>
      <c r="N33">
        <f t="shared" si="10"/>
        <v>4.8829538709452057E-5</v>
      </c>
      <c r="O33">
        <f t="shared" si="2"/>
        <v>2.7392229256212865E-5</v>
      </c>
    </row>
    <row r="34" spans="1:15" x14ac:dyDescent="0.25">
      <c r="A34">
        <v>450</v>
      </c>
      <c r="B34">
        <v>0.5</v>
      </c>
      <c r="C34">
        <v>150</v>
      </c>
      <c r="D34">
        <v>0.9</v>
      </c>
      <c r="E34">
        <v>222</v>
      </c>
      <c r="F34" t="s">
        <v>11</v>
      </c>
      <c r="G34">
        <v>5.2537658939051371E-3</v>
      </c>
      <c r="H34">
        <v>5.8308928725518607E-5</v>
      </c>
      <c r="I34">
        <v>5090.0383110000066</v>
      </c>
      <c r="J34">
        <v>26404.669511605516</v>
      </c>
      <c r="L34">
        <f t="shared" si="11"/>
        <v>5.2411734210731555E-3</v>
      </c>
      <c r="M34">
        <f t="shared" si="9"/>
        <v>-5.2411734210731555E-3</v>
      </c>
      <c r="N34">
        <f t="shared" si="10"/>
        <v>3.0839029895754919E-5</v>
      </c>
      <c r="O34">
        <f t="shared" si="2"/>
        <v>2.176889682529017E-5</v>
      </c>
    </row>
    <row r="35" spans="1:15" x14ac:dyDescent="0.25">
      <c r="A35">
        <v>500</v>
      </c>
      <c r="B35">
        <v>0.5</v>
      </c>
      <c r="C35">
        <v>150</v>
      </c>
      <c r="D35">
        <v>0.9</v>
      </c>
      <c r="E35">
        <v>200</v>
      </c>
      <c r="F35" t="s">
        <v>11</v>
      </c>
      <c r="G35">
        <v>4.8264832113849819E-3</v>
      </c>
      <c r="H35">
        <v>5.4050810539572756E-5</v>
      </c>
      <c r="I35">
        <v>7203.89775500001</v>
      </c>
      <c r="J35">
        <v>35593.34586381141</v>
      </c>
      <c r="L35">
        <f t="shared" si="11"/>
        <v>4.8159756795971721E-3</v>
      </c>
      <c r="M35">
        <f t="shared" si="9"/>
        <v>-4.8159756795971721E-3</v>
      </c>
      <c r="N35">
        <f t="shared" si="10"/>
        <v>3.0857188793101316E-5</v>
      </c>
      <c r="O35">
        <f t="shared" si="2"/>
        <v>2.177530495470298E-5</v>
      </c>
    </row>
    <row r="36" spans="1:15" x14ac:dyDescent="0.25">
      <c r="M36">
        <f t="shared" si="4"/>
        <v>0</v>
      </c>
      <c r="N36">
        <f t="shared" si="5"/>
        <v>0</v>
      </c>
      <c r="O36">
        <f t="shared" si="2"/>
        <v>0</v>
      </c>
    </row>
    <row r="37" spans="1:15" x14ac:dyDescent="0.25">
      <c r="A37" t="s">
        <v>0</v>
      </c>
      <c r="B37" t="s">
        <v>8</v>
      </c>
      <c r="C37" t="s">
        <v>9</v>
      </c>
      <c r="D37" t="s">
        <v>10</v>
      </c>
      <c r="E37" t="s">
        <v>1</v>
      </c>
      <c r="F37" t="s">
        <v>2</v>
      </c>
      <c r="G37" t="s">
        <v>3</v>
      </c>
      <c r="H37" t="s">
        <v>4</v>
      </c>
      <c r="I37" t="s">
        <v>5</v>
      </c>
      <c r="J37" t="s">
        <v>6</v>
      </c>
      <c r="M37" t="e">
        <f t="shared" si="4"/>
        <v>#VALUE!</v>
      </c>
      <c r="N37" t="e">
        <f t="shared" si="5"/>
        <v>#VALUE!</v>
      </c>
      <c r="O37" t="e">
        <f t="shared" si="2"/>
        <v>#VALUE!</v>
      </c>
    </row>
    <row r="38" spans="1:15" x14ac:dyDescent="0.25">
      <c r="A38">
        <v>50</v>
      </c>
      <c r="B38">
        <v>0.5</v>
      </c>
      <c r="C38">
        <v>150</v>
      </c>
      <c r="D38">
        <v>0.9</v>
      </c>
      <c r="E38">
        <v>2000</v>
      </c>
      <c r="F38" t="s">
        <v>12</v>
      </c>
      <c r="G38">
        <v>-18.181300472842366</v>
      </c>
      <c r="H38">
        <v>331.14531044575273</v>
      </c>
      <c r="I38">
        <v>2786.4078040000004</v>
      </c>
      <c r="J38">
        <v>15893.039685021708</v>
      </c>
      <c r="L38">
        <f>G38</f>
        <v>-18.181300472842366</v>
      </c>
      <c r="M38">
        <f>-L38</f>
        <v>18.181300472842366</v>
      </c>
      <c r="N38">
        <f>H38-L38*L38</f>
        <v>0.58562356197467125</v>
      </c>
      <c r="O38">
        <f t="shared" si="2"/>
        <v>2.9998209784464782E-3</v>
      </c>
    </row>
    <row r="39" spans="1:15" x14ac:dyDescent="0.25">
      <c r="A39">
        <v>100</v>
      </c>
      <c r="B39">
        <v>0.5</v>
      </c>
      <c r="C39">
        <v>150</v>
      </c>
      <c r="D39">
        <v>0.9</v>
      </c>
      <c r="E39">
        <v>1000</v>
      </c>
      <c r="F39" t="s">
        <v>12</v>
      </c>
      <c r="G39">
        <v>-18.567007131470881</v>
      </c>
      <c r="H39">
        <v>344.45969510784568</v>
      </c>
      <c r="I39">
        <v>6513.9843750000036</v>
      </c>
      <c r="J39">
        <v>44300.769723389945</v>
      </c>
      <c r="L39">
        <f>(G39*500-G38)/500</f>
        <v>-18.530644530525194</v>
      </c>
      <c r="M39">
        <f t="shared" ref="M39:M47" si="12">-L39</f>
        <v>18.530644530525194</v>
      </c>
      <c r="N39">
        <f t="shared" ref="N39:N47" si="13">H39-L39*L39</f>
        <v>1.0749083911624098</v>
      </c>
      <c r="O39">
        <f t="shared" si="2"/>
        <v>4.0641693249615042E-3</v>
      </c>
    </row>
    <row r="40" spans="1:15" x14ac:dyDescent="0.25">
      <c r="A40">
        <v>150</v>
      </c>
      <c r="B40">
        <v>0.5</v>
      </c>
      <c r="C40">
        <v>150</v>
      </c>
      <c r="D40">
        <v>0.9</v>
      </c>
      <c r="E40">
        <v>666</v>
      </c>
      <c r="F40" t="s">
        <v>12</v>
      </c>
      <c r="G40">
        <v>-18.795165895453131</v>
      </c>
      <c r="H40">
        <v>352.77505498157973</v>
      </c>
      <c r="I40">
        <v>10545.661888999983</v>
      </c>
      <c r="J40">
        <v>76907.684615665843</v>
      </c>
      <c r="L40">
        <f t="shared" ref="L40:L47" si="14">(G40*500-G39)/500</f>
        <v>-18.758031881190188</v>
      </c>
      <c r="M40">
        <f t="shared" si="12"/>
        <v>18.758031881190188</v>
      </c>
      <c r="N40">
        <f t="shared" si="13"/>
        <v>0.91129492583223737</v>
      </c>
      <c r="O40">
        <f t="shared" si="2"/>
        <v>3.7421013279050168E-3</v>
      </c>
    </row>
    <row r="41" spans="1:15" x14ac:dyDescent="0.25">
      <c r="A41">
        <v>200</v>
      </c>
      <c r="B41">
        <v>0.5</v>
      </c>
      <c r="C41">
        <v>150</v>
      </c>
      <c r="D41">
        <v>0.9</v>
      </c>
      <c r="E41">
        <v>500</v>
      </c>
      <c r="F41" t="s">
        <v>12</v>
      </c>
      <c r="G41">
        <v>-18.900477978819694</v>
      </c>
      <c r="H41">
        <v>356.68980541792263</v>
      </c>
      <c r="I41">
        <v>13566.406210000001</v>
      </c>
      <c r="J41">
        <v>95311.374976465304</v>
      </c>
      <c r="L41">
        <f t="shared" si="14"/>
        <v>-18.862887647028789</v>
      </c>
      <c r="M41">
        <f t="shared" si="12"/>
        <v>18.862887647028789</v>
      </c>
      <c r="N41">
        <f t="shared" si="13"/>
        <v>0.88127503349136305</v>
      </c>
      <c r="O41">
        <f t="shared" si="2"/>
        <v>3.6799490043534135E-3</v>
      </c>
    </row>
    <row r="42" spans="1:15" x14ac:dyDescent="0.25">
      <c r="A42">
        <v>250</v>
      </c>
      <c r="B42">
        <v>0.5</v>
      </c>
      <c r="C42">
        <v>150</v>
      </c>
      <c r="D42">
        <v>0.9</v>
      </c>
      <c r="E42">
        <v>400</v>
      </c>
      <c r="F42" t="s">
        <v>12</v>
      </c>
      <c r="G42">
        <v>-18.970205828941058</v>
      </c>
      <c r="H42">
        <v>359.28082310261965</v>
      </c>
      <c r="I42">
        <v>16644.150213999987</v>
      </c>
      <c r="J42">
        <v>114344.00468441093</v>
      </c>
      <c r="L42">
        <f t="shared" si="14"/>
        <v>-18.932404872983422</v>
      </c>
      <c r="M42">
        <f t="shared" si="12"/>
        <v>18.932404872983422</v>
      </c>
      <c r="N42">
        <f t="shared" si="13"/>
        <v>0.84486882805322239</v>
      </c>
      <c r="O42">
        <f t="shared" si="2"/>
        <v>3.6031364613898593E-3</v>
      </c>
    </row>
    <row r="43" spans="1:15" x14ac:dyDescent="0.25">
      <c r="A43">
        <v>300</v>
      </c>
      <c r="B43">
        <v>0.5</v>
      </c>
      <c r="C43">
        <v>150</v>
      </c>
      <c r="D43">
        <v>0.9</v>
      </c>
      <c r="E43">
        <v>333</v>
      </c>
      <c r="F43" t="s">
        <v>12</v>
      </c>
      <c r="G43">
        <v>-19.056957377902389</v>
      </c>
      <c r="H43">
        <v>362.52502565350619</v>
      </c>
      <c r="I43">
        <v>19722.045147000004</v>
      </c>
      <c r="J43">
        <v>133361.59023128962</v>
      </c>
      <c r="L43">
        <f t="shared" si="14"/>
        <v>-19.019016966244507</v>
      </c>
      <c r="M43">
        <f t="shared" si="12"/>
        <v>19.019016966244507</v>
      </c>
      <c r="N43">
        <f t="shared" si="13"/>
        <v>0.80201929120977411</v>
      </c>
      <c r="O43">
        <f t="shared" si="2"/>
        <v>3.5105767669210528E-3</v>
      </c>
    </row>
    <row r="44" spans="1:15" x14ac:dyDescent="0.25">
      <c r="A44">
        <v>350</v>
      </c>
      <c r="B44">
        <v>0.5</v>
      </c>
      <c r="C44">
        <v>150</v>
      </c>
      <c r="D44">
        <v>0.9</v>
      </c>
      <c r="E44">
        <v>285</v>
      </c>
      <c r="F44" t="s">
        <v>12</v>
      </c>
      <c r="G44">
        <v>-19.093270422564515</v>
      </c>
      <c r="H44">
        <v>363.89232379961533</v>
      </c>
      <c r="I44">
        <v>22790.016357999979</v>
      </c>
      <c r="J44">
        <v>152253.11387954783</v>
      </c>
      <c r="L44">
        <f t="shared" si="14"/>
        <v>-19.055156507808707</v>
      </c>
      <c r="M44">
        <f t="shared" si="12"/>
        <v>19.055156507808707</v>
      </c>
      <c r="N44">
        <f t="shared" si="13"/>
        <v>0.79333426253077732</v>
      </c>
      <c r="O44">
        <f t="shared" si="2"/>
        <v>3.4915170931491854E-3</v>
      </c>
    </row>
    <row r="45" spans="1:15" x14ac:dyDescent="0.25">
      <c r="A45">
        <v>400</v>
      </c>
      <c r="B45">
        <v>0.5</v>
      </c>
      <c r="C45">
        <v>150</v>
      </c>
      <c r="D45">
        <v>0.9</v>
      </c>
      <c r="E45">
        <v>250</v>
      </c>
      <c r="F45" t="s">
        <v>12</v>
      </c>
      <c r="G45">
        <v>-19.121020006739695</v>
      </c>
      <c r="H45">
        <v>364.93832683673958</v>
      </c>
      <c r="I45">
        <v>26073.053937999935</v>
      </c>
      <c r="J45">
        <v>173949.33657604083</v>
      </c>
      <c r="L45">
        <f t="shared" si="14"/>
        <v>-19.082833465894563</v>
      </c>
      <c r="M45">
        <f t="shared" si="12"/>
        <v>19.082833465894563</v>
      </c>
      <c r="N45">
        <f t="shared" si="13"/>
        <v>0.78379374967408921</v>
      </c>
      <c r="O45">
        <f t="shared" si="2"/>
        <v>3.4704593752112878E-3</v>
      </c>
    </row>
    <row r="46" spans="1:15" x14ac:dyDescent="0.25">
      <c r="A46">
        <v>450</v>
      </c>
      <c r="B46">
        <v>0.5</v>
      </c>
      <c r="C46">
        <v>150</v>
      </c>
      <c r="D46">
        <v>0.9</v>
      </c>
      <c r="E46">
        <v>222</v>
      </c>
      <c r="F46" t="s">
        <v>12</v>
      </c>
      <c r="G46">
        <v>-19.142198333389143</v>
      </c>
      <c r="H46">
        <v>365.73959252999271</v>
      </c>
      <c r="I46">
        <v>29483.802023999942</v>
      </c>
      <c r="J46">
        <v>197701.06212154671</v>
      </c>
      <c r="L46">
        <f t="shared" si="14"/>
        <v>-19.103956293375663</v>
      </c>
      <c r="M46">
        <f t="shared" si="12"/>
        <v>19.103956293375663</v>
      </c>
      <c r="N46">
        <f t="shared" si="13"/>
        <v>0.77844647078507023</v>
      </c>
      <c r="O46">
        <f t="shared" si="2"/>
        <v>3.4586008513084747E-3</v>
      </c>
    </row>
    <row r="47" spans="1:15" x14ac:dyDescent="0.25">
      <c r="A47">
        <v>500</v>
      </c>
      <c r="B47">
        <v>0.5</v>
      </c>
      <c r="C47">
        <v>150</v>
      </c>
      <c r="D47">
        <v>0.9</v>
      </c>
      <c r="E47">
        <v>200</v>
      </c>
      <c r="F47" t="s">
        <v>12</v>
      </c>
      <c r="G47">
        <v>-19.159579726588341</v>
      </c>
      <c r="H47">
        <v>366.3937094434495</v>
      </c>
      <c r="I47">
        <v>32412.548314999971</v>
      </c>
      <c r="J47">
        <v>215152.86649104595</v>
      </c>
      <c r="L47">
        <f t="shared" si="14"/>
        <v>-19.121295329921562</v>
      </c>
      <c r="M47">
        <f t="shared" si="12"/>
        <v>19.121295329921562</v>
      </c>
      <c r="N47">
        <f t="shared" si="13"/>
        <v>0.76977434936935651</v>
      </c>
      <c r="O47">
        <f t="shared" si="2"/>
        <v>3.4392819835176759E-3</v>
      </c>
    </row>
    <row r="48" spans="1:15" x14ac:dyDescent="0.25">
      <c r="M48">
        <f t="shared" si="4"/>
        <v>0</v>
      </c>
      <c r="N48">
        <f t="shared" si="5"/>
        <v>0</v>
      </c>
      <c r="O48">
        <f t="shared" si="2"/>
        <v>0</v>
      </c>
    </row>
    <row r="49" spans="1:15" x14ac:dyDescent="0.25">
      <c r="A49" t="s">
        <v>0</v>
      </c>
      <c r="B49" t="s">
        <v>8</v>
      </c>
      <c r="C49" t="s">
        <v>9</v>
      </c>
      <c r="D49" t="s">
        <v>10</v>
      </c>
      <c r="E49" t="s">
        <v>1</v>
      </c>
      <c r="F49" t="s">
        <v>2</v>
      </c>
      <c r="G49" t="s">
        <v>3</v>
      </c>
      <c r="H49" t="s">
        <v>4</v>
      </c>
      <c r="I49" t="s">
        <v>5</v>
      </c>
      <c r="J49" t="s">
        <v>6</v>
      </c>
      <c r="M49" t="e">
        <f t="shared" si="4"/>
        <v>#VALUE!</v>
      </c>
      <c r="N49" t="e">
        <f t="shared" si="5"/>
        <v>#VALUE!</v>
      </c>
      <c r="O49" t="e">
        <f t="shared" si="2"/>
        <v>#VALUE!</v>
      </c>
    </row>
    <row r="50" spans="1:15" x14ac:dyDescent="0.25">
      <c r="A50">
        <v>50</v>
      </c>
      <c r="B50">
        <v>0.5</v>
      </c>
      <c r="C50">
        <v>150</v>
      </c>
      <c r="D50">
        <v>0.9</v>
      </c>
      <c r="E50">
        <v>2000</v>
      </c>
      <c r="F50" t="s">
        <v>13</v>
      </c>
      <c r="G50">
        <v>-0.99572912648728962</v>
      </c>
      <c r="H50">
        <v>0.9914784738891177</v>
      </c>
      <c r="I50">
        <v>2690.1262230000016</v>
      </c>
      <c r="J50">
        <v>14701.44873150722</v>
      </c>
      <c r="L50">
        <f>G50</f>
        <v>-0.99572912648728962</v>
      </c>
      <c r="M50">
        <f>-L50</f>
        <v>0.99572912648728962</v>
      </c>
      <c r="N50">
        <f>H50-L50*L50</f>
        <v>1.9805539769324199E-6</v>
      </c>
      <c r="O50">
        <f t="shared" si="2"/>
        <v>5.5167005203413325E-6</v>
      </c>
    </row>
    <row r="51" spans="1:15" x14ac:dyDescent="0.25">
      <c r="A51">
        <v>100</v>
      </c>
      <c r="B51">
        <v>0.5</v>
      </c>
      <c r="C51">
        <v>150</v>
      </c>
      <c r="D51">
        <v>0.9</v>
      </c>
      <c r="E51">
        <v>1000</v>
      </c>
      <c r="F51" t="s">
        <v>13</v>
      </c>
      <c r="G51">
        <v>-0.99823450340941267</v>
      </c>
      <c r="H51">
        <v>0.99448599034489549</v>
      </c>
      <c r="I51">
        <v>5461.8837719999992</v>
      </c>
      <c r="J51">
        <v>30348.317250964043</v>
      </c>
      <c r="L51">
        <f>(G51*500-G50)/500</f>
        <v>-0.99624304515643813</v>
      </c>
      <c r="M51">
        <f t="shared" ref="M51:M59" si="15">-L51</f>
        <v>0.99624304515643813</v>
      </c>
      <c r="N51">
        <f t="shared" ref="N51:N59" si="16">H51-L51*L51</f>
        <v>1.9857853223226307E-3</v>
      </c>
      <c r="O51">
        <f t="shared" si="2"/>
        <v>1.7468363282499729E-4</v>
      </c>
    </row>
    <row r="52" spans="1:15" x14ac:dyDescent="0.25">
      <c r="A52">
        <v>150</v>
      </c>
      <c r="B52">
        <v>0.5</v>
      </c>
      <c r="C52">
        <v>150</v>
      </c>
      <c r="D52">
        <v>0.9</v>
      </c>
      <c r="E52">
        <v>666</v>
      </c>
      <c r="F52" t="s">
        <v>13</v>
      </c>
      <c r="G52">
        <v>-0.99876699820109383</v>
      </c>
      <c r="H52">
        <v>0.99554392266845926</v>
      </c>
      <c r="I52">
        <v>9108.5156349999997</v>
      </c>
      <c r="J52">
        <v>73684.83158371826</v>
      </c>
      <c r="L52">
        <f t="shared" ref="L52:L59" si="17">(G52*500-G51)/500</f>
        <v>-0.99677052919427489</v>
      </c>
      <c r="M52">
        <f t="shared" si="15"/>
        <v>0.99677052919427489</v>
      </c>
      <c r="N52">
        <f t="shared" si="16"/>
        <v>1.9924347982244184E-3</v>
      </c>
      <c r="O52">
        <f t="shared" si="2"/>
        <v>1.7497585571568352E-4</v>
      </c>
    </row>
    <row r="53" spans="1:15" x14ac:dyDescent="0.25">
      <c r="A53">
        <v>200</v>
      </c>
      <c r="B53">
        <v>0.5</v>
      </c>
      <c r="C53">
        <v>150</v>
      </c>
      <c r="D53">
        <v>0.9</v>
      </c>
      <c r="E53">
        <v>500</v>
      </c>
      <c r="F53" t="s">
        <v>13</v>
      </c>
      <c r="G53">
        <v>-0.99909187010708833</v>
      </c>
      <c r="H53">
        <v>0.99619156020685951</v>
      </c>
      <c r="I53">
        <v>12288.730317999984</v>
      </c>
      <c r="J53">
        <v>94734.608210637511</v>
      </c>
      <c r="L53">
        <f t="shared" si="17"/>
        <v>-0.9970943361106861</v>
      </c>
      <c r="M53">
        <f t="shared" si="15"/>
        <v>0.9970943361106861</v>
      </c>
      <c r="N53">
        <f t="shared" si="16"/>
        <v>1.9944451028496291E-3</v>
      </c>
      <c r="O53">
        <f t="shared" si="2"/>
        <v>1.7506410605383539E-4</v>
      </c>
    </row>
    <row r="54" spans="1:15" x14ac:dyDescent="0.25">
      <c r="A54">
        <v>250</v>
      </c>
      <c r="B54">
        <v>0.5</v>
      </c>
      <c r="C54">
        <v>150</v>
      </c>
      <c r="D54">
        <v>0.9</v>
      </c>
      <c r="E54">
        <v>400</v>
      </c>
      <c r="F54" t="s">
        <v>13</v>
      </c>
      <c r="G54">
        <v>-0.99954201925638697</v>
      </c>
      <c r="H54">
        <v>0.99708938099996192</v>
      </c>
      <c r="I54">
        <v>14837.025647999995</v>
      </c>
      <c r="J54">
        <v>108766.96614272629</v>
      </c>
      <c r="L54">
        <f t="shared" si="17"/>
        <v>-0.99754383551617287</v>
      </c>
      <c r="M54">
        <f t="shared" si="15"/>
        <v>0.99754383551617287</v>
      </c>
      <c r="N54">
        <f t="shared" si="16"/>
        <v>1.9956772236445763E-3</v>
      </c>
      <c r="O54">
        <f t="shared" si="2"/>
        <v>1.7511817292734647E-4</v>
      </c>
    </row>
    <row r="55" spans="1:15" x14ac:dyDescent="0.25">
      <c r="A55">
        <v>300</v>
      </c>
      <c r="B55">
        <v>0.5</v>
      </c>
      <c r="C55">
        <v>150</v>
      </c>
      <c r="D55">
        <v>0.9</v>
      </c>
      <c r="E55">
        <v>333</v>
      </c>
      <c r="F55" t="s">
        <v>13</v>
      </c>
      <c r="G55">
        <v>-0.99988002475955906</v>
      </c>
      <c r="H55">
        <v>0.99776374941276136</v>
      </c>
      <c r="I55">
        <v>16948.52553799998</v>
      </c>
      <c r="J55">
        <v>117686.59200539811</v>
      </c>
      <c r="L55">
        <f t="shared" si="17"/>
        <v>-0.99788094072104627</v>
      </c>
      <c r="M55">
        <f t="shared" si="15"/>
        <v>0.99788094072104627</v>
      </c>
      <c r="N55">
        <f t="shared" si="16"/>
        <v>1.9973775584410935E-3</v>
      </c>
      <c r="O55">
        <f t="shared" si="2"/>
        <v>1.7519275816662406E-4</v>
      </c>
    </row>
    <row r="56" spans="1:15" x14ac:dyDescent="0.25">
      <c r="A56">
        <v>350</v>
      </c>
      <c r="B56">
        <v>0.5</v>
      </c>
      <c r="C56">
        <v>150</v>
      </c>
      <c r="D56">
        <v>0.9</v>
      </c>
      <c r="E56">
        <v>285</v>
      </c>
      <c r="F56" t="s">
        <v>13</v>
      </c>
      <c r="G56">
        <v>-0.99995901778519969</v>
      </c>
      <c r="H56">
        <v>0.99792112556675194</v>
      </c>
      <c r="I56">
        <v>19054.698599999963</v>
      </c>
      <c r="J56">
        <v>126561.32636954855</v>
      </c>
      <c r="L56">
        <f t="shared" si="17"/>
        <v>-0.99795925773568062</v>
      </c>
      <c r="M56">
        <f t="shared" si="15"/>
        <v>0.99795925773568062</v>
      </c>
      <c r="N56">
        <f t="shared" si="16"/>
        <v>1.9984454664013773E-3</v>
      </c>
      <c r="O56">
        <f t="shared" si="2"/>
        <v>1.7523958575307728E-4</v>
      </c>
    </row>
    <row r="57" spans="1:15" x14ac:dyDescent="0.25">
      <c r="A57">
        <v>400</v>
      </c>
      <c r="B57">
        <v>0.5</v>
      </c>
      <c r="C57">
        <v>150</v>
      </c>
      <c r="D57">
        <v>0.9</v>
      </c>
      <c r="E57">
        <v>250</v>
      </c>
      <c r="F57" t="s">
        <v>13</v>
      </c>
      <c r="G57">
        <v>-1.0002152667466453</v>
      </c>
      <c r="H57">
        <v>0.99843223898053979</v>
      </c>
      <c r="I57">
        <v>21172.691895999975</v>
      </c>
      <c r="J57">
        <v>135536.10605885999</v>
      </c>
      <c r="L57">
        <f t="shared" si="17"/>
        <v>-0.99821534871107487</v>
      </c>
      <c r="M57">
        <f t="shared" si="15"/>
        <v>0.99821534871107487</v>
      </c>
      <c r="N57">
        <f t="shared" si="16"/>
        <v>1.9983565781669377E-3</v>
      </c>
      <c r="O57">
        <f t="shared" si="2"/>
        <v>1.7523568849622052E-4</v>
      </c>
    </row>
    <row r="58" spans="1:15" x14ac:dyDescent="0.25">
      <c r="A58">
        <v>450</v>
      </c>
      <c r="B58">
        <v>0.5</v>
      </c>
      <c r="C58">
        <v>150</v>
      </c>
      <c r="D58">
        <v>0.9</v>
      </c>
      <c r="E58">
        <v>222</v>
      </c>
      <c r="F58" t="s">
        <v>13</v>
      </c>
      <c r="G58">
        <v>-1.000563853140388</v>
      </c>
      <c r="H58">
        <v>0.99912780576669558</v>
      </c>
      <c r="I58">
        <v>23288.857878000024</v>
      </c>
      <c r="J58">
        <v>144495.34631734691</v>
      </c>
      <c r="L58">
        <f t="shared" si="17"/>
        <v>-0.99856342260689468</v>
      </c>
      <c r="M58">
        <f t="shared" si="15"/>
        <v>0.99856342260689468</v>
      </c>
      <c r="N58">
        <f t="shared" si="16"/>
        <v>1.9988967982997874E-3</v>
      </c>
      <c r="O58">
        <f t="shared" si="2"/>
        <v>1.7525937282038257E-4</v>
      </c>
    </row>
    <row r="59" spans="1:15" x14ac:dyDescent="0.25">
      <c r="A59">
        <v>500</v>
      </c>
      <c r="B59">
        <v>0.5</v>
      </c>
      <c r="C59">
        <v>150</v>
      </c>
      <c r="D59">
        <v>0.9</v>
      </c>
      <c r="E59">
        <v>200</v>
      </c>
      <c r="F59" t="s">
        <v>13</v>
      </c>
      <c r="G59">
        <v>-1.0004323367438912</v>
      </c>
      <c r="H59">
        <v>0.9988652420680677</v>
      </c>
      <c r="I59">
        <v>25406.623523000024</v>
      </c>
      <c r="J59">
        <v>153467.8483362167</v>
      </c>
      <c r="L59">
        <f t="shared" si="17"/>
        <v>-0.99843120903761051</v>
      </c>
      <c r="M59">
        <f t="shared" si="15"/>
        <v>0.99843120903761051</v>
      </c>
      <c r="N59">
        <f t="shared" si="16"/>
        <v>2.000362887762952E-3</v>
      </c>
      <c r="O59">
        <f t="shared" si="2"/>
        <v>1.7532363297205722E-4</v>
      </c>
    </row>
    <row r="60" spans="1:15" x14ac:dyDescent="0.25">
      <c r="M60">
        <f t="shared" si="4"/>
        <v>0</v>
      </c>
      <c r="N60">
        <f t="shared" si="5"/>
        <v>0</v>
      </c>
      <c r="O60">
        <f t="shared" si="2"/>
        <v>0</v>
      </c>
    </row>
    <row r="61" spans="1:15" x14ac:dyDescent="0.25">
      <c r="A61" t="s">
        <v>0</v>
      </c>
      <c r="B61" t="s">
        <v>8</v>
      </c>
      <c r="C61" t="s">
        <v>9</v>
      </c>
      <c r="D61" t="s">
        <v>10</v>
      </c>
      <c r="E61" t="s">
        <v>1</v>
      </c>
      <c r="F61" t="s">
        <v>2</v>
      </c>
      <c r="G61" t="s">
        <v>3</v>
      </c>
      <c r="H61" t="s">
        <v>4</v>
      </c>
      <c r="I61" t="s">
        <v>5</v>
      </c>
      <c r="J61" t="s">
        <v>6</v>
      </c>
      <c r="M61" t="e">
        <f t="shared" si="4"/>
        <v>#VALUE!</v>
      </c>
      <c r="N61" t="e">
        <f t="shared" si="5"/>
        <v>#VALUE!</v>
      </c>
      <c r="O61" t="e">
        <f t="shared" si="2"/>
        <v>#VALUE!</v>
      </c>
    </row>
    <row r="62" spans="1:15" x14ac:dyDescent="0.25">
      <c r="A62">
        <v>50</v>
      </c>
      <c r="B62">
        <v>0.5</v>
      </c>
      <c r="C62">
        <v>150</v>
      </c>
      <c r="D62">
        <v>0.9</v>
      </c>
      <c r="E62">
        <v>2000</v>
      </c>
      <c r="F62" t="s">
        <v>14</v>
      </c>
      <c r="G62">
        <v>-0.99682758619127299</v>
      </c>
      <c r="H62">
        <v>0.9936773819645851</v>
      </c>
      <c r="I62">
        <v>3084.2728910000001</v>
      </c>
      <c r="J62">
        <v>19773.587951119673</v>
      </c>
      <c r="L62">
        <f>G62</f>
        <v>-0.99682758619127299</v>
      </c>
      <c r="M62">
        <f>-L62</f>
        <v>0.99682758619127299</v>
      </c>
      <c r="N62">
        <f>H62-L62*L62</f>
        <v>1.2145372665361975E-5</v>
      </c>
      <c r="O62">
        <f t="shared" si="2"/>
        <v>1.3661283048272526E-5</v>
      </c>
    </row>
    <row r="63" spans="1:15" x14ac:dyDescent="0.25">
      <c r="A63">
        <v>100</v>
      </c>
      <c r="B63">
        <v>0.5</v>
      </c>
      <c r="C63">
        <v>150</v>
      </c>
      <c r="D63">
        <v>0.9</v>
      </c>
      <c r="E63">
        <v>1000</v>
      </c>
      <c r="F63" t="s">
        <v>14</v>
      </c>
      <c r="G63">
        <v>-0.99554564309671867</v>
      </c>
      <c r="H63">
        <v>0.98918128073792444</v>
      </c>
      <c r="I63">
        <v>6086.849173999999</v>
      </c>
      <c r="J63">
        <v>38097.958697513299</v>
      </c>
      <c r="L63">
        <f>(G63*500-G62)/500</f>
        <v>-0.99355198792433608</v>
      </c>
      <c r="M63">
        <f t="shared" ref="M63:M71" si="18">-L63</f>
        <v>0.99355198792433608</v>
      </c>
      <c r="N63">
        <f t="shared" ref="N63:N71" si="19">H63-L63*L63</f>
        <v>2.0357280295243418E-3</v>
      </c>
      <c r="O63">
        <f t="shared" si="2"/>
        <v>1.7686664805124466E-4</v>
      </c>
    </row>
    <row r="64" spans="1:15" x14ac:dyDescent="0.25">
      <c r="A64">
        <v>150</v>
      </c>
      <c r="B64">
        <v>0.5</v>
      </c>
      <c r="C64">
        <v>150</v>
      </c>
      <c r="D64">
        <v>0.9</v>
      </c>
      <c r="E64">
        <v>666</v>
      </c>
      <c r="F64" t="s">
        <v>14</v>
      </c>
      <c r="G64">
        <v>-0.99492669888381757</v>
      </c>
      <c r="H64">
        <v>0.98795373400257736</v>
      </c>
      <c r="I64">
        <v>8836.4615599999961</v>
      </c>
      <c r="J64">
        <v>53398.887986513502</v>
      </c>
      <c r="L64">
        <f t="shared" ref="L64:L71" si="20">(G64*500-G63)/500</f>
        <v>-0.99293560759762423</v>
      </c>
      <c r="M64">
        <f t="shared" si="18"/>
        <v>0.99293560759762423</v>
      </c>
      <c r="N64">
        <f t="shared" si="19"/>
        <v>2.032613167314179E-3</v>
      </c>
      <c r="O64">
        <f t="shared" si="2"/>
        <v>1.7673128465050153E-4</v>
      </c>
    </row>
    <row r="65" spans="1:15" x14ac:dyDescent="0.25">
      <c r="A65">
        <v>200</v>
      </c>
      <c r="B65">
        <v>0.5</v>
      </c>
      <c r="C65">
        <v>150</v>
      </c>
      <c r="D65">
        <v>0.9</v>
      </c>
      <c r="E65">
        <v>500</v>
      </c>
      <c r="F65" t="s">
        <v>14</v>
      </c>
      <c r="G65">
        <v>-0.99409526152122285</v>
      </c>
      <c r="H65">
        <v>0.98630585231138901</v>
      </c>
      <c r="I65">
        <v>11407.390223000006</v>
      </c>
      <c r="J65">
        <v>66803.928380204161</v>
      </c>
      <c r="L65">
        <f t="shared" si="20"/>
        <v>-0.99210540812345516</v>
      </c>
      <c r="M65">
        <f t="shared" si="18"/>
        <v>0.99210540812345516</v>
      </c>
      <c r="N65">
        <f t="shared" si="19"/>
        <v>2.0327114835815285E-3</v>
      </c>
      <c r="O65">
        <f t="shared" si="2"/>
        <v>1.7673555879139659E-4</v>
      </c>
    </row>
    <row r="66" spans="1:15" x14ac:dyDescent="0.25">
      <c r="A66">
        <v>250</v>
      </c>
      <c r="B66">
        <v>0.5</v>
      </c>
      <c r="C66">
        <v>150</v>
      </c>
      <c r="D66">
        <v>0.9</v>
      </c>
      <c r="E66">
        <v>400</v>
      </c>
      <c r="F66" t="s">
        <v>14</v>
      </c>
      <c r="G66">
        <v>-0.99366432592615939</v>
      </c>
      <c r="H66">
        <v>0.98545945195915374</v>
      </c>
      <c r="I66">
        <v>14061.017977000001</v>
      </c>
      <c r="J66">
        <v>80956.107356520472</v>
      </c>
      <c r="L66">
        <f t="shared" si="20"/>
        <v>-0.99167613540311683</v>
      </c>
      <c r="M66">
        <f t="shared" si="18"/>
        <v>0.99167613540311683</v>
      </c>
      <c r="N66">
        <f t="shared" si="19"/>
        <v>2.0378944310928127E-3</v>
      </c>
      <c r="O66">
        <f t="shared" si="2"/>
        <v>1.7696073289276521E-4</v>
      </c>
    </row>
    <row r="67" spans="1:15" x14ac:dyDescent="0.25">
      <c r="A67">
        <v>300</v>
      </c>
      <c r="B67">
        <v>0.5</v>
      </c>
      <c r="C67">
        <v>150</v>
      </c>
      <c r="D67">
        <v>0.9</v>
      </c>
      <c r="E67">
        <v>333</v>
      </c>
      <c r="F67" t="s">
        <v>14</v>
      </c>
      <c r="G67">
        <v>-0.99381470391178128</v>
      </c>
      <c r="H67">
        <v>0.98574377026401661</v>
      </c>
      <c r="I67">
        <v>16199.560466000017</v>
      </c>
      <c r="J67">
        <v>90434.032526026218</v>
      </c>
      <c r="L67">
        <f t="shared" si="20"/>
        <v>-0.99182737525992903</v>
      </c>
      <c r="M67">
        <f t="shared" si="18"/>
        <v>0.99182737525992903</v>
      </c>
      <c r="N67">
        <f t="shared" si="19"/>
        <v>2.0222279490165196E-3</v>
      </c>
      <c r="O67">
        <f t="shared" ref="O67:O95" si="21">$P$1*SQRT(N67)/$Q$1</f>
        <v>1.7627922043101805E-4</v>
      </c>
    </row>
    <row r="68" spans="1:15" x14ac:dyDescent="0.25">
      <c r="A68">
        <v>350</v>
      </c>
      <c r="B68">
        <v>0.5</v>
      </c>
      <c r="C68">
        <v>150</v>
      </c>
      <c r="D68">
        <v>0.9</v>
      </c>
      <c r="E68">
        <v>285</v>
      </c>
      <c r="F68" t="s">
        <v>14</v>
      </c>
      <c r="G68">
        <v>-0.99394325748248136</v>
      </c>
      <c r="H68">
        <v>0.98599972272850922</v>
      </c>
      <c r="I68">
        <v>18639.08982400001</v>
      </c>
      <c r="J68">
        <v>104101.23184170821</v>
      </c>
      <c r="L68">
        <f t="shared" si="20"/>
        <v>-0.99195562807465787</v>
      </c>
      <c r="M68">
        <f t="shared" si="18"/>
        <v>0.99195562807465787</v>
      </c>
      <c r="N68">
        <f t="shared" si="19"/>
        <v>2.0237546595202049E-3</v>
      </c>
      <c r="O68">
        <f t="shared" si="21"/>
        <v>1.7634575016158249E-4</v>
      </c>
    </row>
    <row r="69" spans="1:15" x14ac:dyDescent="0.25">
      <c r="A69">
        <v>400</v>
      </c>
      <c r="B69">
        <v>0.5</v>
      </c>
      <c r="C69">
        <v>150</v>
      </c>
      <c r="D69">
        <v>0.9</v>
      </c>
      <c r="E69">
        <v>250</v>
      </c>
      <c r="F69" t="s">
        <v>14</v>
      </c>
      <c r="G69">
        <v>-0.99393475017713917</v>
      </c>
      <c r="H69">
        <v>0.98597923337242754</v>
      </c>
      <c r="I69">
        <v>20931.645012000023</v>
      </c>
      <c r="J69">
        <v>115432.67255744163</v>
      </c>
      <c r="L69">
        <f t="shared" si="20"/>
        <v>-0.99194686366217422</v>
      </c>
      <c r="M69">
        <f t="shared" si="18"/>
        <v>0.99194686366217422</v>
      </c>
      <c r="N69">
        <f t="shared" si="19"/>
        <v>2.0206530432035352E-3</v>
      </c>
      <c r="O69">
        <f t="shared" si="21"/>
        <v>1.7621056416424868E-4</v>
      </c>
    </row>
    <row r="70" spans="1:15" x14ac:dyDescent="0.25">
      <c r="A70">
        <v>450</v>
      </c>
      <c r="B70">
        <v>0.5</v>
      </c>
      <c r="C70">
        <v>150</v>
      </c>
      <c r="D70">
        <v>0.9</v>
      </c>
      <c r="E70">
        <v>222</v>
      </c>
      <c r="F70" t="s">
        <v>14</v>
      </c>
      <c r="G70">
        <v>-0.99335690743630645</v>
      </c>
      <c r="H70">
        <v>0.98483427875399976</v>
      </c>
      <c r="I70">
        <v>22812.096777999996</v>
      </c>
      <c r="J70">
        <v>122509.00975556784</v>
      </c>
      <c r="L70">
        <f t="shared" si="20"/>
        <v>-0.99136903793595221</v>
      </c>
      <c r="M70">
        <f t="shared" si="18"/>
        <v>0.99136903793595221</v>
      </c>
      <c r="N70">
        <f t="shared" si="19"/>
        <v>2.0217093759442584E-3</v>
      </c>
      <c r="O70">
        <f t="shared" si="21"/>
        <v>1.7625661676802333E-4</v>
      </c>
    </row>
    <row r="71" spans="1:15" x14ac:dyDescent="0.25">
      <c r="A71">
        <v>500</v>
      </c>
      <c r="B71">
        <v>0.5</v>
      </c>
      <c r="C71">
        <v>150</v>
      </c>
      <c r="D71">
        <v>0.9</v>
      </c>
      <c r="E71">
        <v>200</v>
      </c>
      <c r="F71" t="s">
        <v>14</v>
      </c>
      <c r="G71">
        <v>-0.99318812529323608</v>
      </c>
      <c r="H71">
        <v>0.98449993145458825</v>
      </c>
      <c r="I71">
        <v>24688.46190300001</v>
      </c>
      <c r="J71">
        <v>129552.94141250485</v>
      </c>
      <c r="L71">
        <f t="shared" si="20"/>
        <v>-0.99120141147836349</v>
      </c>
      <c r="M71">
        <f t="shared" si="18"/>
        <v>0.99120141147836349</v>
      </c>
      <c r="N71">
        <f t="shared" si="19"/>
        <v>2.0196933378882065E-3</v>
      </c>
      <c r="O71">
        <f t="shared" si="21"/>
        <v>1.7616871375850294E-4</v>
      </c>
    </row>
    <row r="72" spans="1:15" x14ac:dyDescent="0.25">
      <c r="A72" s="1">
        <v>100</v>
      </c>
      <c r="M72">
        <f t="shared" ref="M67:M95" si="22">-G72</f>
        <v>0</v>
      </c>
      <c r="N72">
        <f t="shared" ref="N67:N95" si="23">H72-G72*G72</f>
        <v>0</v>
      </c>
      <c r="O72">
        <f t="shared" si="21"/>
        <v>0</v>
      </c>
    </row>
    <row r="73" spans="1:15" x14ac:dyDescent="0.25">
      <c r="A73" t="s">
        <v>0</v>
      </c>
      <c r="B73" t="s">
        <v>8</v>
      </c>
      <c r="C73" t="s">
        <v>9</v>
      </c>
      <c r="D73" t="s">
        <v>10</v>
      </c>
      <c r="E73" t="s">
        <v>1</v>
      </c>
      <c r="F73" t="s">
        <v>2</v>
      </c>
      <c r="G73" t="s">
        <v>3</v>
      </c>
      <c r="H73" t="s">
        <v>4</v>
      </c>
      <c r="I73" t="s">
        <v>5</v>
      </c>
      <c r="J73" t="s">
        <v>6</v>
      </c>
      <c r="M73" t="e">
        <f t="shared" si="22"/>
        <v>#VALUE!</v>
      </c>
      <c r="N73" t="e">
        <f t="shared" si="23"/>
        <v>#VALUE!</v>
      </c>
      <c r="O73" t="e">
        <f t="shared" si="21"/>
        <v>#VALUE!</v>
      </c>
    </row>
    <row r="74" spans="1:15" x14ac:dyDescent="0.25">
      <c r="A74">
        <v>50</v>
      </c>
      <c r="B74">
        <v>0.5</v>
      </c>
      <c r="C74">
        <v>150</v>
      </c>
      <c r="D74">
        <v>0.9</v>
      </c>
      <c r="E74">
        <v>2000</v>
      </c>
      <c r="F74" t="s">
        <v>15</v>
      </c>
      <c r="G74">
        <v>-105.88822716246155</v>
      </c>
      <c r="H74">
        <v>11215.838249377459</v>
      </c>
      <c r="I74">
        <v>345.46684899999991</v>
      </c>
      <c r="J74">
        <v>1266.0924852312489</v>
      </c>
      <c r="M74">
        <f t="shared" si="22"/>
        <v>105.88822716246155</v>
      </c>
      <c r="N74">
        <f t="shared" si="23"/>
        <v>3.52159776840017</v>
      </c>
      <c r="O74">
        <f t="shared" si="21"/>
        <v>7.3562408843338162E-3</v>
      </c>
    </row>
    <row r="75" spans="1:15" x14ac:dyDescent="0.25">
      <c r="A75">
        <v>100</v>
      </c>
      <c r="B75">
        <v>0.5</v>
      </c>
      <c r="C75">
        <v>150</v>
      </c>
      <c r="D75">
        <v>0.9</v>
      </c>
      <c r="E75">
        <v>1000</v>
      </c>
      <c r="F75" t="s">
        <v>15</v>
      </c>
      <c r="G75">
        <v>-106.33770827891027</v>
      </c>
      <c r="H75">
        <v>11308.857045279599</v>
      </c>
      <c r="I75">
        <v>306.01683599999984</v>
      </c>
      <c r="J75">
        <v>936.54021066177006</v>
      </c>
      <c r="M75">
        <f t="shared" si="22"/>
        <v>106.33770827891027</v>
      </c>
      <c r="N75">
        <f t="shared" si="23"/>
        <v>1.1488432689766341</v>
      </c>
      <c r="O75">
        <f t="shared" si="21"/>
        <v>4.2016169754515408E-3</v>
      </c>
    </row>
    <row r="76" spans="1:15" x14ac:dyDescent="0.25">
      <c r="A76">
        <v>150</v>
      </c>
      <c r="B76">
        <v>0.5</v>
      </c>
      <c r="C76">
        <v>150</v>
      </c>
      <c r="D76">
        <v>0.9</v>
      </c>
      <c r="E76">
        <v>666</v>
      </c>
      <c r="F76" t="s">
        <v>15</v>
      </c>
      <c r="G76">
        <v>-106.39188130697353</v>
      </c>
      <c r="H76">
        <v>11319.936808350436</v>
      </c>
      <c r="I76">
        <v>305.56975199999994</v>
      </c>
      <c r="J76">
        <v>933.75343964183048</v>
      </c>
      <c r="M76">
        <f t="shared" si="22"/>
        <v>106.39188130697353</v>
      </c>
      <c r="N76">
        <f t="shared" si="23"/>
        <v>0.70440031329235353</v>
      </c>
      <c r="O76">
        <f t="shared" si="21"/>
        <v>3.2899995401482387E-3</v>
      </c>
    </row>
    <row r="77" spans="1:15" x14ac:dyDescent="0.25">
      <c r="A77">
        <v>200</v>
      </c>
      <c r="B77">
        <v>0.5</v>
      </c>
      <c r="C77">
        <v>150</v>
      </c>
      <c r="D77">
        <v>0.9</v>
      </c>
      <c r="E77">
        <v>500</v>
      </c>
      <c r="F77" t="s">
        <v>15</v>
      </c>
      <c r="G77">
        <v>-106.57278252985367</v>
      </c>
      <c r="H77">
        <v>11357.941613478006</v>
      </c>
      <c r="I77">
        <v>306.06332500000013</v>
      </c>
      <c r="J77">
        <v>936.93126791855525</v>
      </c>
      <c r="M77">
        <f t="shared" si="22"/>
        <v>106.57278252985367</v>
      </c>
      <c r="N77">
        <f t="shared" si="23"/>
        <v>0.18363732252328191</v>
      </c>
      <c r="O77">
        <f t="shared" si="21"/>
        <v>1.6798346802056917E-3</v>
      </c>
    </row>
    <row r="78" spans="1:15" x14ac:dyDescent="0.25">
      <c r="A78">
        <v>250</v>
      </c>
      <c r="B78">
        <v>0.5</v>
      </c>
      <c r="C78">
        <v>150</v>
      </c>
      <c r="D78">
        <v>0.9</v>
      </c>
      <c r="E78">
        <v>400</v>
      </c>
      <c r="F78" t="s">
        <v>15</v>
      </c>
      <c r="G78">
        <v>-106.63339370529617</v>
      </c>
      <c r="H78">
        <v>11370.734039695133</v>
      </c>
      <c r="I78">
        <v>306.02980500000007</v>
      </c>
      <c r="J78">
        <v>936.68837647278315</v>
      </c>
      <c r="M78">
        <f t="shared" si="22"/>
        <v>106.63339370529617</v>
      </c>
      <c r="N78">
        <f t="shared" si="23"/>
        <v>5.3386586436317884E-2</v>
      </c>
      <c r="O78">
        <f t="shared" si="21"/>
        <v>9.0573707101732081E-4</v>
      </c>
    </row>
    <row r="79" spans="1:15" x14ac:dyDescent="0.25">
      <c r="A79">
        <v>300</v>
      </c>
      <c r="B79">
        <v>0.5</v>
      </c>
      <c r="C79">
        <v>150</v>
      </c>
      <c r="D79">
        <v>0.9</v>
      </c>
      <c r="E79">
        <v>333</v>
      </c>
      <c r="F79" t="s">
        <v>15</v>
      </c>
      <c r="G79">
        <v>-106.6096278324096</v>
      </c>
      <c r="H79">
        <v>11365.719995824398</v>
      </c>
      <c r="I79">
        <v>304.68814500000013</v>
      </c>
      <c r="J79">
        <v>928.42306973206928</v>
      </c>
      <c r="M79">
        <f t="shared" si="22"/>
        <v>106.6096278324096</v>
      </c>
      <c r="N79">
        <f t="shared" si="23"/>
        <v>0.107249259513992</v>
      </c>
      <c r="O79">
        <f t="shared" si="21"/>
        <v>1.2837581631272327E-3</v>
      </c>
    </row>
    <row r="80" spans="1:15" x14ac:dyDescent="0.25">
      <c r="A80">
        <v>350</v>
      </c>
      <c r="B80">
        <v>0.5</v>
      </c>
      <c r="C80">
        <v>150</v>
      </c>
      <c r="D80">
        <v>0.9</v>
      </c>
      <c r="E80">
        <v>285</v>
      </c>
      <c r="F80" t="s">
        <v>15</v>
      </c>
      <c r="G80">
        <v>-106.68311711005923</v>
      </c>
      <c r="H80">
        <v>11381.32234949208</v>
      </c>
      <c r="I80">
        <v>304.2375340000001</v>
      </c>
      <c r="J80">
        <v>925.65975169688011</v>
      </c>
      <c r="M80">
        <f t="shared" si="22"/>
        <v>106.68311711005923</v>
      </c>
      <c r="N80">
        <f t="shared" si="23"/>
        <v>3.4873173468440655E-2</v>
      </c>
      <c r="O80">
        <f t="shared" si="21"/>
        <v>7.3203492593280439E-4</v>
      </c>
    </row>
    <row r="81" spans="1:15" x14ac:dyDescent="0.25">
      <c r="A81">
        <v>400</v>
      </c>
      <c r="B81">
        <v>0.5</v>
      </c>
      <c r="C81">
        <v>150</v>
      </c>
      <c r="D81">
        <v>0.9</v>
      </c>
      <c r="E81">
        <v>250</v>
      </c>
      <c r="F81" t="s">
        <v>15</v>
      </c>
      <c r="G81">
        <v>-106.71088326706915</v>
      </c>
      <c r="H81">
        <v>11387.225536437982</v>
      </c>
      <c r="I81">
        <v>314.47182200000003</v>
      </c>
      <c r="J81">
        <v>996.57044139137997</v>
      </c>
      <c r="M81">
        <f t="shared" si="22"/>
        <v>106.71088326706915</v>
      </c>
      <c r="N81">
        <f t="shared" si="23"/>
        <v>1.2928799922519829E-2</v>
      </c>
      <c r="O81">
        <f t="shared" si="21"/>
        <v>4.4572313281835476E-4</v>
      </c>
    </row>
    <row r="82" spans="1:15" x14ac:dyDescent="0.25">
      <c r="A82">
        <v>450</v>
      </c>
      <c r="B82">
        <v>0.5</v>
      </c>
      <c r="C82">
        <v>150</v>
      </c>
      <c r="D82">
        <v>0.9</v>
      </c>
      <c r="E82">
        <v>222</v>
      </c>
      <c r="F82" t="s">
        <v>15</v>
      </c>
      <c r="G82">
        <v>-106.69685074754548</v>
      </c>
      <c r="H82">
        <v>11384.245849719813</v>
      </c>
      <c r="I82">
        <v>304.12327199999993</v>
      </c>
      <c r="J82">
        <v>924.92840856445184</v>
      </c>
      <c r="M82">
        <f t="shared" si="22"/>
        <v>106.69685074754548</v>
      </c>
      <c r="N82">
        <f t="shared" si="23"/>
        <v>2.7890275816389476E-2</v>
      </c>
      <c r="O82">
        <f t="shared" si="21"/>
        <v>6.5465497348219021E-4</v>
      </c>
    </row>
    <row r="83" spans="1:15" x14ac:dyDescent="0.25">
      <c r="A83">
        <v>500</v>
      </c>
      <c r="B83">
        <v>0.5</v>
      </c>
      <c r="C83">
        <v>150</v>
      </c>
      <c r="D83">
        <v>0.9</v>
      </c>
      <c r="E83">
        <v>200</v>
      </c>
      <c r="F83" t="s">
        <v>15</v>
      </c>
      <c r="G83">
        <v>-106.70801950582832</v>
      </c>
      <c r="H83">
        <v>11386.613619524127</v>
      </c>
      <c r="I83">
        <v>305.04315499999996</v>
      </c>
      <c r="J83">
        <v>930.54327133872516</v>
      </c>
      <c r="M83">
        <f t="shared" si="22"/>
        <v>106.70801950582832</v>
      </c>
      <c r="N83">
        <f t="shared" si="23"/>
        <v>1.2192667889394215E-2</v>
      </c>
      <c r="O83">
        <f t="shared" si="21"/>
        <v>4.32848023970986E-4</v>
      </c>
    </row>
    <row r="84" spans="1:15" x14ac:dyDescent="0.25">
      <c r="M84">
        <f t="shared" si="22"/>
        <v>0</v>
      </c>
      <c r="N84">
        <f t="shared" si="23"/>
        <v>0</v>
      </c>
      <c r="O84">
        <f t="shared" si="21"/>
        <v>0</v>
      </c>
    </row>
    <row r="85" spans="1:15" x14ac:dyDescent="0.25">
      <c r="A85" t="s">
        <v>0</v>
      </c>
      <c r="B85" t="s">
        <v>8</v>
      </c>
      <c r="C85" t="s">
        <v>9</v>
      </c>
      <c r="D85" t="s">
        <v>10</v>
      </c>
      <c r="E85" t="s">
        <v>1</v>
      </c>
      <c r="F85" t="s">
        <v>2</v>
      </c>
      <c r="G85" t="s">
        <v>3</v>
      </c>
      <c r="H85" t="s">
        <v>4</v>
      </c>
      <c r="I85" t="s">
        <v>5</v>
      </c>
      <c r="J85" t="s">
        <v>6</v>
      </c>
      <c r="M85" t="e">
        <f t="shared" si="22"/>
        <v>#VALUE!</v>
      </c>
      <c r="N85" t="e">
        <f t="shared" si="23"/>
        <v>#VALUE!</v>
      </c>
      <c r="O85" t="e">
        <f t="shared" si="21"/>
        <v>#VALUE!</v>
      </c>
    </row>
    <row r="86" spans="1:15" x14ac:dyDescent="0.25">
      <c r="A86">
        <v>50</v>
      </c>
      <c r="B86">
        <v>0.5</v>
      </c>
      <c r="C86">
        <v>150</v>
      </c>
      <c r="D86">
        <v>0.9</v>
      </c>
      <c r="E86">
        <v>2000</v>
      </c>
      <c r="F86" t="s">
        <v>16</v>
      </c>
      <c r="G86">
        <v>-19.999914077329112</v>
      </c>
      <c r="H86">
        <v>399.99656312120345</v>
      </c>
      <c r="I86">
        <v>303.93543900000003</v>
      </c>
      <c r="J86">
        <v>923.78782354094676</v>
      </c>
      <c r="M86">
        <f t="shared" si="22"/>
        <v>19.999914077329112</v>
      </c>
      <c r="N86">
        <f t="shared" si="23"/>
        <v>2.0656273136410164E-8</v>
      </c>
      <c r="O86">
        <f t="shared" si="21"/>
        <v>5.6339378371023329E-7</v>
      </c>
    </row>
    <row r="87" spans="1:15" x14ac:dyDescent="0.25">
      <c r="A87">
        <v>100</v>
      </c>
      <c r="B87">
        <v>0.5</v>
      </c>
      <c r="C87">
        <v>150</v>
      </c>
      <c r="D87">
        <v>0.9</v>
      </c>
      <c r="E87">
        <v>1000</v>
      </c>
      <c r="F87" t="s">
        <v>16</v>
      </c>
      <c r="G87">
        <v>-19.999901538213265</v>
      </c>
      <c r="H87">
        <v>399.99606158131331</v>
      </c>
      <c r="I87">
        <v>303.31886500000013</v>
      </c>
      <c r="J87">
        <v>920.05014893813086</v>
      </c>
      <c r="M87">
        <f t="shared" si="22"/>
        <v>19.999901538213265</v>
      </c>
      <c r="N87">
        <f t="shared" si="23"/>
        <v>4.3087993617518805E-8</v>
      </c>
      <c r="O87">
        <f t="shared" si="21"/>
        <v>8.1369978808172302E-7</v>
      </c>
    </row>
    <row r="88" spans="1:15" x14ac:dyDescent="0.25">
      <c r="A88">
        <v>150</v>
      </c>
      <c r="B88">
        <v>0.5</v>
      </c>
      <c r="C88">
        <v>150</v>
      </c>
      <c r="D88">
        <v>0.9</v>
      </c>
      <c r="E88">
        <v>666</v>
      </c>
      <c r="F88" t="s">
        <v>16</v>
      </c>
      <c r="G88">
        <v>-19.99996645067635</v>
      </c>
      <c r="H88">
        <v>399.99865803061067</v>
      </c>
      <c r="I88">
        <v>303.3230890000001</v>
      </c>
      <c r="J88">
        <v>920.07497407225299</v>
      </c>
      <c r="M88">
        <f t="shared" si="22"/>
        <v>19.99996645067635</v>
      </c>
      <c r="N88">
        <f t="shared" si="23"/>
        <v>2.4310793378390372E-9</v>
      </c>
      <c r="O88">
        <f t="shared" si="21"/>
        <v>1.9327942864404834E-7</v>
      </c>
    </row>
    <row r="89" spans="1:15" x14ac:dyDescent="0.25">
      <c r="A89">
        <v>200</v>
      </c>
      <c r="B89">
        <v>0.5</v>
      </c>
      <c r="C89">
        <v>150</v>
      </c>
      <c r="D89">
        <v>0.9</v>
      </c>
      <c r="E89">
        <v>500</v>
      </c>
      <c r="F89" t="s">
        <v>16</v>
      </c>
      <c r="G89">
        <v>-19.999968314172452</v>
      </c>
      <c r="H89">
        <v>399.99873257294394</v>
      </c>
      <c r="I89">
        <v>303.19133300000004</v>
      </c>
      <c r="J89">
        <v>919.27838463371518</v>
      </c>
      <c r="M89">
        <f t="shared" si="22"/>
        <v>19.999968314172452</v>
      </c>
      <c r="N89">
        <f t="shared" si="23"/>
        <v>5.0418407226970885E-9</v>
      </c>
      <c r="O89">
        <f t="shared" si="21"/>
        <v>2.7834320771531777E-7</v>
      </c>
    </row>
    <row r="90" spans="1:15" x14ac:dyDescent="0.25">
      <c r="A90">
        <v>250</v>
      </c>
      <c r="B90">
        <v>0.5</v>
      </c>
      <c r="C90">
        <v>150</v>
      </c>
      <c r="D90">
        <v>0.9</v>
      </c>
      <c r="E90">
        <v>400</v>
      </c>
      <c r="F90" t="s">
        <v>16</v>
      </c>
      <c r="G90">
        <v>-19.999977126331828</v>
      </c>
      <c r="H90">
        <v>399.99908505467067</v>
      </c>
      <c r="I90">
        <v>303.40364599999992</v>
      </c>
      <c r="J90">
        <v>920.56651567763163</v>
      </c>
      <c r="M90">
        <f t="shared" si="22"/>
        <v>19.999977126331828</v>
      </c>
      <c r="N90">
        <f t="shared" si="23"/>
        <v>8.7436546891694888E-10</v>
      </c>
      <c r="O90">
        <f t="shared" si="21"/>
        <v>1.1591311203468486E-7</v>
      </c>
    </row>
    <row r="91" spans="1:15" x14ac:dyDescent="0.25">
      <c r="A91">
        <v>300</v>
      </c>
      <c r="B91">
        <v>0.5</v>
      </c>
      <c r="C91">
        <v>150</v>
      </c>
      <c r="D91">
        <v>0.9</v>
      </c>
      <c r="E91">
        <v>333</v>
      </c>
      <c r="F91" t="s">
        <v>16</v>
      </c>
      <c r="G91">
        <v>-19.999978124393678</v>
      </c>
      <c r="H91">
        <v>399.99912497787011</v>
      </c>
      <c r="I91">
        <v>302.895419</v>
      </c>
      <c r="J91">
        <v>917.48076198192894</v>
      </c>
      <c r="M91">
        <f t="shared" si="22"/>
        <v>19.999978124393678</v>
      </c>
      <c r="N91">
        <f t="shared" si="23"/>
        <v>1.6444232642243151E-9</v>
      </c>
      <c r="O91">
        <f t="shared" si="21"/>
        <v>1.5896183707851552E-7</v>
      </c>
    </row>
    <row r="92" spans="1:15" x14ac:dyDescent="0.25">
      <c r="A92">
        <v>350</v>
      </c>
      <c r="B92">
        <v>0.5</v>
      </c>
      <c r="C92">
        <v>150</v>
      </c>
      <c r="D92">
        <v>0.9</v>
      </c>
      <c r="E92">
        <v>285</v>
      </c>
      <c r="F92" t="s">
        <v>16</v>
      </c>
      <c r="G92">
        <v>-19.999983142039298</v>
      </c>
      <c r="H92">
        <v>399.9993256829116</v>
      </c>
      <c r="I92">
        <v>302.65448800000007</v>
      </c>
      <c r="J92">
        <v>916.02975550020051</v>
      </c>
      <c r="M92">
        <f t="shared" si="22"/>
        <v>19.999983142039298</v>
      </c>
      <c r="N92">
        <f t="shared" si="23"/>
        <v>1.0554686014074832E-9</v>
      </c>
      <c r="O92">
        <f t="shared" si="21"/>
        <v>1.2735286693540882E-7</v>
      </c>
    </row>
    <row r="93" spans="1:15" x14ac:dyDescent="0.25">
      <c r="A93">
        <v>400</v>
      </c>
      <c r="B93">
        <v>0.5</v>
      </c>
      <c r="C93">
        <v>150</v>
      </c>
      <c r="D93">
        <v>0.9</v>
      </c>
      <c r="E93">
        <v>250</v>
      </c>
      <c r="F93" t="s">
        <v>16</v>
      </c>
      <c r="G93">
        <v>-19.999987392907556</v>
      </c>
      <c r="H93">
        <v>399.99949571672704</v>
      </c>
      <c r="I93">
        <v>303.21536700000001</v>
      </c>
      <c r="J93">
        <v>919.41855749070271</v>
      </c>
      <c r="M93">
        <f t="shared" si="22"/>
        <v>19.999987392907556</v>
      </c>
      <c r="N93">
        <f t="shared" si="23"/>
        <v>2.6585667001199909E-10</v>
      </c>
      <c r="O93">
        <f t="shared" si="21"/>
        <v>6.3916038160014126E-8</v>
      </c>
    </row>
    <row r="94" spans="1:15" x14ac:dyDescent="0.25">
      <c r="A94">
        <v>450</v>
      </c>
      <c r="B94">
        <v>0.5</v>
      </c>
      <c r="C94">
        <v>150</v>
      </c>
      <c r="D94">
        <v>0.9</v>
      </c>
      <c r="E94">
        <v>222</v>
      </c>
      <c r="F94" t="s">
        <v>16</v>
      </c>
      <c r="G94">
        <v>-19.999985303237239</v>
      </c>
      <c r="H94">
        <v>399.99941213014142</v>
      </c>
      <c r="I94">
        <v>302.92863599999993</v>
      </c>
      <c r="J94">
        <v>917.68449629555175</v>
      </c>
      <c r="M94">
        <f t="shared" si="22"/>
        <v>19.999985303237239</v>
      </c>
      <c r="N94">
        <f t="shared" si="23"/>
        <v>4.3587533582467586E-10</v>
      </c>
      <c r="O94">
        <f t="shared" si="21"/>
        <v>8.1840300344123228E-8</v>
      </c>
    </row>
    <row r="95" spans="1:15" x14ac:dyDescent="0.25">
      <c r="A95">
        <v>500</v>
      </c>
      <c r="B95">
        <v>0.5</v>
      </c>
      <c r="C95">
        <v>150</v>
      </c>
      <c r="D95">
        <v>0.9</v>
      </c>
      <c r="E95">
        <v>200</v>
      </c>
      <c r="F95" t="s">
        <v>16</v>
      </c>
      <c r="G95">
        <v>-19.999985771740775</v>
      </c>
      <c r="H95">
        <v>399.99943087021313</v>
      </c>
      <c r="I95">
        <v>303.02953499999995</v>
      </c>
      <c r="J95">
        <v>918.29474308250724</v>
      </c>
      <c r="M95">
        <f t="shared" si="22"/>
        <v>19.999985771740775</v>
      </c>
      <c r="N95">
        <f t="shared" si="23"/>
        <v>3.7971403799019754E-10</v>
      </c>
      <c r="O95">
        <f t="shared" si="21"/>
        <v>7.6386109950517641E-8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2025-03-28T16:20:22Z</dcterms:modified>
</cp:coreProperties>
</file>